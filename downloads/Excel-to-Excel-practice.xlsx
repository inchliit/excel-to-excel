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01 Flash Fill" sheetId="2" state="visible" r:id="rId2"/>
    <sheet xmlns:r="http://schemas.openxmlformats.org/officeDocument/2006/relationships" name="02 Go To Special" sheetId="3" state="visible" r:id="rId3"/>
    <sheet xmlns:r="http://schemas.openxmlformats.org/officeDocument/2006/relationships" name="03 Paste Special" sheetId="4" state="visible" r:id="rId4"/>
    <sheet xmlns:r="http://schemas.openxmlformats.org/officeDocument/2006/relationships" name="04 Tables" sheetId="5" state="visible" r:id="rId5"/>
    <sheet xmlns:r="http://schemas.openxmlformats.org/officeDocument/2006/relationships" name="05 Data Validation" sheetId="6" state="visible" r:id="rId6"/>
    <sheet xmlns:r="http://schemas.openxmlformats.org/officeDocument/2006/relationships" name="06 Mixed Refs" sheetId="7" state="visible" r:id="rId7"/>
    <sheet xmlns:r="http://schemas.openxmlformats.org/officeDocument/2006/relationships" name="07 SUMIFS" sheetId="8" state="visible" r:id="rId8"/>
    <sheet xmlns:r="http://schemas.openxmlformats.org/officeDocument/2006/relationships" name="08 INDEX MATCH" sheetId="9" state="visible" r:id="rId9"/>
    <sheet xmlns:r="http://schemas.openxmlformats.org/officeDocument/2006/relationships" name="09 XLOOKUP" sheetId="10" state="visible" r:id="rId10"/>
    <sheet xmlns:r="http://schemas.openxmlformats.org/officeDocument/2006/relationships" name="10 IFS" sheetId="11" state="visible" r:id="rId11"/>
    <sheet xmlns:r="http://schemas.openxmlformats.org/officeDocument/2006/relationships" name="11 FILTER SORT" sheetId="12" state="visible" r:id="rId12"/>
    <sheet xmlns:r="http://schemas.openxmlformats.org/officeDocument/2006/relationships" name="12 Cond Formatting" sheetId="13" state="visible" r:id="rId13"/>
    <sheet xmlns:r="http://schemas.openxmlformats.org/officeDocument/2006/relationships" name="13 Sparklines" sheetId="14" state="visible" r:id="rId14"/>
    <sheet xmlns:r="http://schemas.openxmlformats.org/officeDocument/2006/relationships" name="14 Pivot Slicers" sheetId="15" state="visible" r:id="rId15"/>
    <sheet xmlns:r="http://schemas.openxmlformats.org/officeDocument/2006/relationships" name="15 Pareto" sheetId="16" state="visible" r:id="rId16"/>
    <sheet xmlns:r="http://schemas.openxmlformats.org/officeDocument/2006/relationships" name="16 Goal Seek" sheetId="17" state="visible" r:id="rId17"/>
    <sheet xmlns:r="http://schemas.openxmlformats.org/officeDocument/2006/relationships" name="17 Data Table" sheetId="18" state="visible" r:id="rId18"/>
    <sheet xmlns:r="http://schemas.openxmlformats.org/officeDocument/2006/relationships" name="18 Solver" sheetId="19" state="visible" r:id="rId19"/>
    <sheet xmlns:r="http://schemas.openxmlformats.org/officeDocument/2006/relationships" name="19 Forecast Sheet" sheetId="20" state="visible" r:id="rId20"/>
    <sheet xmlns:r="http://schemas.openxmlformats.org/officeDocument/2006/relationships" name="20 Monte Carlo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yyyy-mm-dd"/>
  </numFmts>
  <fonts count="1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07C41"/>
      <sz val="14"/>
    </font>
    <font>
      <name val="Arial"/>
      <i val="1"/>
      <color rgb="00595959"/>
      <sz val="10"/>
    </font>
    <font>
      <name val="Arial"/>
      <b val="1"/>
      <color rgb="009C5700"/>
      <sz val="10"/>
    </font>
    <font>
      <name val="Arial"/>
      <b val="1"/>
      <color rgb="00107C41"/>
      <sz val="10"/>
    </font>
    <font>
      <name val="Arial"/>
      <b val="1"/>
      <sz val="11"/>
    </font>
    <font>
      <name val="Arial"/>
      <color rgb="000563C1"/>
      <sz val="10"/>
    </font>
    <font>
      <name val="Arial"/>
      <i val="1"/>
      <sz val="10"/>
    </font>
    <font>
      <name val="Arial"/>
      <color rgb="009C5700"/>
      <sz val="10"/>
    </font>
    <font>
      <name val="Arial"/>
      <b val="1"/>
      <color rgb="00107C41"/>
      <sz val="18"/>
    </font>
    <font>
      <name val="Arial"/>
      <sz val="11"/>
    </font>
    <font>
      <name val="Arial"/>
      <b val="1"/>
      <sz val="12"/>
    </font>
    <font>
      <name val="Arial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FF9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1" pivotButton="0" quotePrefix="0" xfId="0"/>
    <xf numFmtId="0" fontId="14" fillId="0" borderId="0" pivotButton="0" quotePrefix="0" xfId="0"/>
    <xf numFmtId="0" fontId="1" fillId="2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5" fillId="0" borderId="0" pivotButton="0" quotePrefix="0" xfId="0"/>
    <xf numFmtId="0" fontId="7" fillId="0" borderId="0" pivotButton="0" quotePrefix="0" xfId="0"/>
    <xf numFmtId="2" fontId="2" fillId="3" borderId="1" pivotButton="0" quotePrefix="0" xfId="0"/>
    <xf numFmtId="0" fontId="4" fillId="3" borderId="1" pivotButton="0" quotePrefix="0" xfId="0"/>
    <xf numFmtId="2" fontId="2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0" fontId="10" fillId="0" borderId="0" pivotButton="0" quotePrefix="0" xfId="0"/>
    <xf numFmtId="3" fontId="2" fillId="0" borderId="0" pivotButton="0" quotePrefix="0" xfId="0"/>
    <xf numFmtId="9" fontId="2" fillId="0" borderId="0" pivotButton="0" quotePrefix="0" xfId="0"/>
    <xf numFmtId="165" fontId="2" fillId="0" borderId="0" pivotButton="0" quotePrefix="0" xfId="0"/>
    <xf numFmtId="0" fontId="0" fillId="4" borderId="0" pivotButton="0" quotePrefix="0" xfId="0"/>
    <xf numFmtId="166" fontId="2" fillId="0" borderId="0" pivotButton="0" quotePrefix="0" xfId="0"/>
    <xf numFmtId="3" fontId="1" fillId="2" borderId="0" pivotButton="0" quotePrefix="0" xfId="0"/>
    <xf numFmtId="17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008000"/>
      </font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4" customWidth="1" min="3" max="3"/>
    <col width="54" customWidth="1" min="4" max="4"/>
    <col width="22" customWidth="1" min="5" max="5"/>
  </cols>
  <sheetData>
    <row r="1"/>
    <row r="2">
      <c r="B2" s="1" t="inlineStr">
        <is>
          <t>Excel to Excel · Practice workbook</t>
        </is>
      </c>
    </row>
    <row r="3">
      <c r="B3" s="2" t="inlineStr">
        <is>
          <t>20 Excel tricks you don't know, for Industrial Engineers. Same data as the webinar slides.</t>
        </is>
      </c>
    </row>
    <row r="4"/>
    <row r="5">
      <c r="B5" s="3" t="inlineStr">
        <is>
          <t>How it works</t>
        </is>
      </c>
    </row>
    <row r="6">
      <c r="B6" s="4" t="inlineStr">
        <is>
          <t>•</t>
        </is>
      </c>
      <c r="C6" s="4" t="inlineStr">
        <is>
          <t>Each sheet is one trick. The data sits in the same cells as on the slide, so the slide's formula works as-is.</t>
        </is>
      </c>
    </row>
    <row r="7">
      <c r="B7" s="4" t="inlineStr">
        <is>
          <t>•</t>
        </is>
      </c>
      <c r="C7" s="4" t="inlineStr">
        <is>
          <t>Yellow cells are yours: type there (or run the menu steps listed on the sheet).</t>
        </is>
      </c>
    </row>
    <row r="8">
      <c r="B8" s="4" t="inlineStr">
        <is>
          <t>•</t>
        </is>
      </c>
      <c r="C8" s="4" t="inlineStr">
        <is>
          <t>The Check cell turns green (✓) when you have it right, red (✗) when not yet.</t>
        </is>
      </c>
    </row>
    <row r="9">
      <c r="B9" s="4" t="inlineStr">
        <is>
          <t>•</t>
        </is>
      </c>
      <c r="C9" s="4" t="inlineStr">
        <is>
          <t>Stuck? Each sheet has a hidden ANSWER column group on the right: click its [+] button to open it.</t>
        </is>
      </c>
    </row>
    <row r="10">
      <c r="B10" s="4" t="inlineStr">
        <is>
          <t>•</t>
        </is>
      </c>
      <c r="C10" s="4" t="inlineStr">
        <is>
          <t>Example: on 07 SUMIFS type =SUMIFS(D2:D13,B2:B13,"L2",C2:C13,"Night") in G2 → Check shows ✓ Correct!</t>
        </is>
      </c>
    </row>
    <row r="11"/>
    <row r="12">
      <c r="B12" s="5" t="inlineStr">
        <is>
          <t>Legend:</t>
        </is>
      </c>
      <c r="C12" s="6" t="inlineStr">
        <is>
          <t>Type here</t>
        </is>
      </c>
      <c r="D12" s="7" t="inlineStr">
        <is>
          <t>✓ Check cell: green when right, red when not yet</t>
        </is>
      </c>
    </row>
    <row r="13"/>
    <row r="14">
      <c r="B14" s="8" t="inlineStr">
        <is>
          <t>#</t>
        </is>
      </c>
      <c r="C14" s="8" t="inlineStr">
        <is>
          <t>Trick (click to open)</t>
        </is>
      </c>
      <c r="D14" s="8" t="inlineStr">
        <is>
          <t>What you practise</t>
        </is>
      </c>
      <c r="E14" s="8" t="inlineStr">
        <is>
          <t>Works in</t>
        </is>
      </c>
    </row>
    <row r="15">
      <c r="B15" s="4" t="n">
        <v>1</v>
      </c>
      <c r="C15" s="9">
        <f>HYPERLINK("#'01 Flash Fill'!A1","Flash Fill")</f>
        <v/>
      </c>
      <c r="D15" s="4" t="inlineStr">
        <is>
          <t>Split messy codes by typing ONE example</t>
        </is>
      </c>
      <c r="E15" s="4" t="inlineStr">
        <is>
          <t>Excel 2013+</t>
        </is>
      </c>
    </row>
    <row r="16">
      <c r="B16" s="4" t="n">
        <v>2</v>
      </c>
      <c r="C16" s="9">
        <f>HYPERLINK("#'02 Go To Special'!A1","Go To Special › Blanks + Ctrl+Enter")</f>
        <v/>
      </c>
      <c r="D16" s="4" t="inlineStr">
        <is>
          <t>Fill every gap in one go</t>
        </is>
      </c>
      <c r="E16" s="4" t="inlineStr">
        <is>
          <t>Excel 2013+</t>
        </is>
      </c>
    </row>
    <row r="17">
      <c r="B17" s="4" t="n">
        <v>3</v>
      </c>
      <c r="C17" s="9">
        <f>HYPERLINK("#'03 Paste Special'!A1","Paste Special › Divide")</f>
        <v/>
      </c>
      <c r="D17" s="4" t="inlineStr">
        <is>
          <t>Convert a whole time study in place</t>
        </is>
      </c>
      <c r="E17" s="4" t="inlineStr">
        <is>
          <t>Excel 2013+</t>
        </is>
      </c>
    </row>
    <row r="18">
      <c r="B18" s="4" t="n">
        <v>4</v>
      </c>
      <c r="C18" s="9">
        <f>HYPERLINK("#'04 Tables'!A1","Ctrl+T Tables")</f>
        <v/>
      </c>
      <c r="D18" s="4" t="inlineStr">
        <is>
          <t>Formulas and charts that grow with your log</t>
        </is>
      </c>
      <c r="E18" s="4" t="inlineStr">
        <is>
          <t>Excel 2013+</t>
        </is>
      </c>
    </row>
    <row r="19">
      <c r="B19" s="4" t="n">
        <v>5</v>
      </c>
      <c r="C19" s="9">
        <f>HYPERLINK("#'05 Data Validation'!A1","Data Validation dropdowns")</f>
        <v/>
      </c>
      <c r="D19" s="4" t="inlineStr">
        <is>
          <t>Stop 'scrtch' before it starts</t>
        </is>
      </c>
      <c r="E19" s="4" t="inlineStr">
        <is>
          <t>Excel 2013+</t>
        </is>
      </c>
    </row>
    <row r="20">
      <c r="B20" s="4" t="n">
        <v>6</v>
      </c>
      <c r="C20" s="9">
        <f>HYPERLINK("#'06 Mixed Refs'!A1","Mixed references with F4")</f>
        <v/>
      </c>
      <c r="D20" s="4" t="inlineStr">
        <is>
          <t>One formula, whole cost grid</t>
        </is>
      </c>
      <c r="E20" s="4" t="inlineStr">
        <is>
          <t>Excel 2013+</t>
        </is>
      </c>
    </row>
    <row r="21">
      <c r="B21" s="4" t="n">
        <v>7</v>
      </c>
      <c r="C21" s="9">
        <f>HYPERLINK("#'07 SUMIFS'!A1","SUMIFS / COUNTIFS")</f>
        <v/>
      </c>
      <c r="D21" s="4" t="inlineStr">
        <is>
          <t>Defects by line AND shift</t>
        </is>
      </c>
      <c r="E21" s="4" t="inlineStr">
        <is>
          <t>Excel 2013+</t>
        </is>
      </c>
    </row>
    <row r="22">
      <c r="B22" s="4" t="n">
        <v>8</v>
      </c>
      <c r="C22" s="9">
        <f>HYPERLINK("#'08 INDEX MATCH'!A1","INDEX + MATCH")</f>
        <v/>
      </c>
      <c r="D22" s="4" t="inlineStr">
        <is>
          <t>Two-way lookup</t>
        </is>
      </c>
      <c r="E22" s="4" t="inlineStr">
        <is>
          <t>Excel 2013+</t>
        </is>
      </c>
    </row>
    <row r="23">
      <c r="B23" s="4" t="n">
        <v>9</v>
      </c>
      <c r="C23" s="9">
        <f>HYPERLINK("#'09 XLOOKUP'!A1","XLOOKUP")</f>
        <v/>
      </c>
      <c r="D23" s="4" t="inlineStr">
        <is>
          <t>Lookups without column numbers</t>
        </is>
      </c>
      <c r="E23" s="4" t="inlineStr">
        <is>
          <t>Microsoft 365 / 2021</t>
        </is>
      </c>
    </row>
    <row r="24">
      <c r="B24" s="4" t="n">
        <v>10</v>
      </c>
      <c r="C24" s="9">
        <f>HYPERLINK("#'10 IFS'!A1","IFS for ABC classes")</f>
        <v/>
      </c>
      <c r="D24" s="4" t="inlineStr">
        <is>
          <t>ABC inventory without nested-IF pain</t>
        </is>
      </c>
      <c r="E24" s="4" t="inlineStr">
        <is>
          <t>Excel 2019+</t>
        </is>
      </c>
    </row>
    <row r="25">
      <c r="B25" s="4" t="n">
        <v>11</v>
      </c>
      <c r="C25" s="9">
        <f>HYPERLINK("#'11 FILTER SORT'!A1","FILTER + SORT")</f>
        <v/>
      </c>
      <c r="D25" s="4" t="inlineStr">
        <is>
          <t>A live 'worst machines' list</t>
        </is>
      </c>
      <c r="E25" s="4" t="inlineStr">
        <is>
          <t>Microsoft 365 / 2021</t>
        </is>
      </c>
    </row>
    <row r="26">
      <c r="B26" s="4" t="n">
        <v>12</v>
      </c>
      <c r="C26" s="9">
        <f>HYPERLINK("#'12 Cond Formatting'!A1","Conditional formatting with a formula")</f>
        <v/>
      </c>
      <c r="D26" s="4" t="inlineStr">
        <is>
          <t>SPC alarms that light themselves</t>
        </is>
      </c>
      <c r="E26" s="4" t="inlineStr">
        <is>
          <t>Excel 2013+</t>
        </is>
      </c>
    </row>
    <row r="27">
      <c r="B27" s="4" t="n">
        <v>13</v>
      </c>
      <c r="C27" s="9">
        <f>HYPERLINK("#'13 Sparklines'!A1","Sparklines")</f>
        <v/>
      </c>
      <c r="D27" s="4" t="inlineStr">
        <is>
          <t>A chart in every cell</t>
        </is>
      </c>
      <c r="E27" s="4" t="inlineStr">
        <is>
          <t>Excel 2013+</t>
        </is>
      </c>
    </row>
    <row r="28">
      <c r="B28" s="4" t="n">
        <v>14</v>
      </c>
      <c r="C28" s="9">
        <f>HYPERLINK("#'14 Pivot Slicers'!A1","Pivot Table + Slicers")</f>
        <v/>
      </c>
      <c r="D28" s="4" t="inlineStr">
        <is>
          <t>Downtime by cause, one click per line</t>
        </is>
      </c>
      <c r="E28" s="4" t="inlineStr">
        <is>
          <t>Excel 2013+</t>
        </is>
      </c>
    </row>
    <row r="29">
      <c r="B29" s="4" t="n">
        <v>15</v>
      </c>
      <c r="C29" s="9">
        <f>HYPERLINK("#'15 Pareto'!A1","Built-in Pareto chart")</f>
        <v/>
      </c>
      <c r="D29" s="4" t="inlineStr">
        <is>
          <t>80/20 in two clicks</t>
        </is>
      </c>
      <c r="E29" s="4" t="inlineStr">
        <is>
          <t>Excel 2016+</t>
        </is>
      </c>
    </row>
    <row r="30">
      <c r="B30" s="4" t="n">
        <v>16</v>
      </c>
      <c r="C30" s="9">
        <f>HYPERLINK("#'16 Goal Seek'!A1","Goal Seek")</f>
        <v/>
      </c>
      <c r="D30" s="4" t="inlineStr">
        <is>
          <t>Work backwards to your takt time</t>
        </is>
      </c>
      <c r="E30" s="4" t="inlineStr">
        <is>
          <t>Excel 2013+</t>
        </is>
      </c>
    </row>
    <row r="31">
      <c r="B31" s="4" t="n">
        <v>17</v>
      </c>
      <c r="C31" s="9">
        <f>HYPERLINK("#'17 Data Table'!A1","What-If Data Table")</f>
        <v/>
      </c>
      <c r="D31" s="4" t="inlineStr">
        <is>
          <t>Every order quantity at once</t>
        </is>
      </c>
      <c r="E31" s="4" t="inlineStr">
        <is>
          <t>Excel 2013+</t>
        </is>
      </c>
    </row>
    <row r="32">
      <c r="B32" s="4" t="n">
        <v>18</v>
      </c>
      <c r="C32" s="9">
        <f>HYPERLINK("#'18 Solver'!A1","Solver product mix")</f>
        <v/>
      </c>
      <c r="D32" s="4" t="inlineStr">
        <is>
          <t>Let Excel do the LP</t>
        </is>
      </c>
      <c r="E32" s="4" t="inlineStr">
        <is>
          <t>Excel 2013+</t>
        </is>
      </c>
    </row>
    <row r="33">
      <c r="B33" s="4" t="n">
        <v>19</v>
      </c>
      <c r="C33" s="9">
        <f>HYPERLINK("#'19 Forecast Sheet'!A1","Forecast Sheet")</f>
        <v/>
      </c>
      <c r="D33" s="4" t="inlineStr">
        <is>
          <t>Seasonal demand forecast in one click</t>
        </is>
      </c>
      <c r="E33" s="4" t="inlineStr">
        <is>
          <t>Excel 2016+</t>
        </is>
      </c>
    </row>
    <row r="34">
      <c r="B34" s="4" t="n">
        <v>20</v>
      </c>
      <c r="C34" s="9">
        <f>HYPERLINK("#'20 Monte Carlo'!A1","Monte Carlo")</f>
        <v/>
      </c>
      <c r="D34" s="4" t="inlineStr">
        <is>
          <t>Simulate variability, not averages</t>
        </is>
      </c>
      <c r="E34" s="4" t="inlineStr">
        <is>
          <t>Excel 2013+</t>
        </is>
      </c>
    </row>
    <row r="35"/>
    <row r="36">
      <c r="B36" s="9">
        <f>HYPERLINK("https://inchliit.github.io/excel-to-excel/","Open the webinar deck: https://inchliit.github.io/excel-to-excel/")</f>
        <v/>
      </c>
    </row>
    <row r="37">
      <c r="B37" s="10" t="inlineStr">
        <is>
          <t>Example data is fictional, made for practice. Check your Excel version: File › Account › About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zoomScale="110" workbookViewId="0">
      <selection activeCell="A1" sqref="A1"/>
    </sheetView>
  </sheetViews>
  <sheetFormatPr baseColWidth="8" defaultRowHeight="15"/>
  <cols>
    <col width="31.4" customWidth="1" min="1" max="1"/>
    <col width="12" customWidth="1" min="2" max="2"/>
    <col width="16.6" customWidth="1" min="3" max="3"/>
    <col width="13.1" customWidth="1" min="4" max="4"/>
    <col hidden="1" outlineLevel="1" width="13" customWidth="1" min="14" max="20"/>
  </cols>
  <sheetData>
    <row r="1">
      <c r="A1" s="8" t="inlineStr">
        <is>
          <t>Log Code</t>
        </is>
      </c>
      <c r="B1" s="8" t="inlineStr">
        <is>
          <t>Line</t>
        </is>
      </c>
      <c r="C1" s="8" t="inlineStr">
        <is>
          <t>Operator</t>
        </is>
      </c>
      <c r="D1" s="8" t="inlineStr">
        <is>
          <t>Shift</t>
        </is>
      </c>
      <c r="F1" s="11" t="inlineStr">
        <is>
          <t>01 · Flash Fill</t>
        </is>
      </c>
      <c r="N1" s="12" t="inlineStr">
        <is>
          <t>ANSWER</t>
        </is>
      </c>
    </row>
    <row r="2">
      <c r="A2" s="4" t="inlineStr">
        <is>
          <t>L2-OP0423-NIGHT</t>
        </is>
      </c>
      <c r="B2" s="13" t="n"/>
      <c r="C2" s="13" t="n"/>
      <c r="D2" s="13" t="n"/>
      <c r="F2" s="10" t="inlineStr">
        <is>
          <t>Works in Excel 2013 and newer</t>
        </is>
      </c>
      <c r="N2" s="5" t="inlineStr">
        <is>
          <t>Type L2 in B2 (the line part of A2). Click B3 and press Ctrl+E: Excel fills the rest of the column. Do the same for Operator (type OP0423 in C2) and Shift (type Night in D2), then Ctrl+E.</t>
        </is>
      </c>
    </row>
    <row r="3">
      <c r="A3" s="4" t="inlineStr">
        <is>
          <t>L1-OP0187-DAY</t>
        </is>
      </c>
      <c r="B3" s="13" t="n"/>
      <c r="C3" s="13" t="n"/>
      <c r="D3" s="13" t="n"/>
      <c r="F3" s="5" t="inlineStr">
        <is>
          <t>Split messy codes by typing ONE example</t>
        </is>
      </c>
      <c r="N3" s="4" t="inlineStr">
        <is>
          <t>Expected (after the trick)</t>
        </is>
      </c>
    </row>
    <row r="4">
      <c r="A4" s="4" t="inlineStr">
        <is>
          <t>L3-OP0552-SWING</t>
        </is>
      </c>
      <c r="B4" s="13" t="n"/>
      <c r="C4" s="13" t="n"/>
      <c r="D4" s="13" t="n"/>
      <c r="O4" s="4" t="inlineStr">
        <is>
          <t>L2</t>
        </is>
      </c>
      <c r="P4" s="4" t="inlineStr">
        <is>
          <t>OP0423</t>
        </is>
      </c>
      <c r="Q4" s="4" t="inlineStr">
        <is>
          <t>Night</t>
        </is>
      </c>
    </row>
    <row r="5">
      <c r="A5" s="4" t="inlineStr">
        <is>
          <t>L2-OP0311-DAY</t>
        </is>
      </c>
      <c r="B5" s="13" t="n"/>
      <c r="C5" s="13" t="n"/>
      <c r="D5" s="13" t="n"/>
      <c r="F5" s="14" t="inlineStr">
        <is>
          <t>YOUR TURN  (yellow cells are yours)</t>
        </is>
      </c>
      <c r="O5" s="4" t="inlineStr">
        <is>
          <t>L1</t>
        </is>
      </c>
      <c r="P5" s="4" t="inlineStr">
        <is>
          <t>OP0187</t>
        </is>
      </c>
      <c r="Q5" s="4" t="inlineStr">
        <is>
          <t>Day</t>
        </is>
      </c>
    </row>
    <row r="6">
      <c r="A6" s="4" t="inlineStr">
        <is>
          <t>L1-OP0629-NIGHT</t>
        </is>
      </c>
      <c r="B6" s="13" t="n"/>
      <c r="C6" s="13" t="n"/>
      <c r="D6" s="13" t="n"/>
      <c r="F6" s="4" t="inlineStr">
        <is>
          <t>1. Type L2 in B2 (the line part of A2).</t>
        </is>
      </c>
      <c r="O6" s="4" t="inlineStr">
        <is>
          <t>L3</t>
        </is>
      </c>
      <c r="P6" s="4" t="inlineStr">
        <is>
          <t>OP0552</t>
        </is>
      </c>
      <c r="Q6" s="4" t="inlineStr">
        <is>
          <t>Swing</t>
        </is>
      </c>
    </row>
    <row r="7">
      <c r="A7" s="4" t="inlineStr">
        <is>
          <t>L3-OP0098-DAY</t>
        </is>
      </c>
      <c r="B7" s="13" t="n"/>
      <c r="C7" s="13" t="n"/>
      <c r="D7" s="13" t="n"/>
      <c r="F7" s="4" t="inlineStr">
        <is>
          <t>2. Click B3 and press Ctrl+E: Excel fills the rest of the column.</t>
        </is>
      </c>
      <c r="O7" s="4" t="inlineStr">
        <is>
          <t>L2</t>
        </is>
      </c>
      <c r="P7" s="4" t="inlineStr">
        <is>
          <t>OP0311</t>
        </is>
      </c>
      <c r="Q7" s="4" t="inlineStr">
        <is>
          <t>Day</t>
        </is>
      </c>
    </row>
    <row r="8">
      <c r="A8" s="4" t="inlineStr">
        <is>
          <t>L2-OP0740-SWING</t>
        </is>
      </c>
      <c r="B8" s="13" t="n"/>
      <c r="C8" s="13" t="n"/>
      <c r="D8" s="13" t="n"/>
      <c r="F8" s="4" t="inlineStr">
        <is>
          <t>3. Do the same for Operator (type OP0423 in C2) and Shift (type Night in D2), then Ctrl+E.</t>
        </is>
      </c>
      <c r="O8" s="4" t="inlineStr">
        <is>
          <t>L1</t>
        </is>
      </c>
      <c r="P8" s="4" t="inlineStr">
        <is>
          <t>OP0629</t>
        </is>
      </c>
      <c r="Q8" s="4" t="inlineStr">
        <is>
          <t>Night</t>
        </is>
      </c>
    </row>
    <row r="9">
      <c r="A9" s="4" t="inlineStr">
        <is>
          <t>L1-OP0415-DAY</t>
        </is>
      </c>
      <c r="B9" s="13" t="n"/>
      <c r="C9" s="13" t="n"/>
      <c r="D9" s="13" t="n"/>
      <c r="F9" s="4" t="inlineStr">
        <is>
          <t>4. Also on the ribbon: Data › Flash Fill.</t>
        </is>
      </c>
      <c r="O9" s="4" t="inlineStr">
        <is>
          <t>L3</t>
        </is>
      </c>
      <c r="P9" s="4" t="inlineStr">
        <is>
          <t>OP0098</t>
        </is>
      </c>
      <c r="Q9" s="4" t="inlineStr">
        <is>
          <t>Day</t>
        </is>
      </c>
    </row>
    <row r="10">
      <c r="O10" s="4" t="inlineStr">
        <is>
          <t>L2</t>
        </is>
      </c>
      <c r="P10" s="4" t="inlineStr">
        <is>
          <t>OP0740</t>
        </is>
      </c>
      <c r="Q10" s="4" t="inlineStr">
        <is>
          <t>Swing</t>
        </is>
      </c>
    </row>
    <row r="11">
      <c r="F11" s="5" t="inlineStr">
        <is>
          <t>Check:</t>
        </is>
      </c>
      <c r="G11" s="15">
        <f>IF(COUNTBLANK(B2:D9)=24,"",IF(SUMPRODUCT(--ISERROR(B2:D9))&gt;0,"✗ Some cells show an error",IF(SUMPRODUCT(--EXACT(B2:D9,$O$4:$Q$11))=24,"✓ Done right!","✗ Not yet: follow the steps")))</f>
        <v/>
      </c>
      <c r="O11" s="4" t="inlineStr">
        <is>
          <t>L1</t>
        </is>
      </c>
      <c r="P11" s="4" t="inlineStr">
        <is>
          <t>OP0415</t>
        </is>
      </c>
      <c r="Q11" s="4" t="inlineStr">
        <is>
          <t>Day</t>
        </is>
      </c>
    </row>
    <row r="12">
      <c r="F12" s="10" t="inlineStr">
        <is>
          <t>Stuck? The answer is in hidden columns N–T: click the [+] in the bar above the column letters.</t>
        </is>
      </c>
    </row>
    <row r="13"/>
    <row r="14">
      <c r="F14" s="9">
        <f>HYPERLINK("#'Start here'!A1","← Back to Start here")</f>
        <v/>
      </c>
    </row>
    <row r="15">
      <c r="F15" s="9">
        <f>HYPERLINK("https://inchliit.github.io/excel-to-excel/","Open the webinar deck")</f>
        <v/>
      </c>
    </row>
  </sheetData>
  <conditionalFormatting sqref="G11">
    <cfRule type="expression" priority="1" dxfId="0">
      <formula>LEFT(G11,1)="✓"</formula>
    </cfRule>
    <cfRule type="expression" priority="2" dxfId="1">
      <formula>LEFT(G11,1)="✗"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13.7" customWidth="1" min="2" max="2"/>
    <col width="16" customWidth="1" min="3" max="3"/>
    <col width="13.7" customWidth="1" min="4" max="4"/>
    <col hidden="1" outlineLevel="1" width="13" customWidth="1" min="14" max="20"/>
  </cols>
  <sheetData>
    <row r="1">
      <c r="A1" s="8" t="inlineStr">
        <is>
          <t>Line</t>
        </is>
      </c>
      <c r="B1" s="8" t="inlineStr">
        <is>
          <t>Shift</t>
        </is>
      </c>
      <c r="C1" s="8" t="inlineStr">
        <is>
          <t>Machine</t>
        </is>
      </c>
      <c r="D1" s="8" t="inlineStr">
        <is>
          <t>Output</t>
        </is>
      </c>
      <c r="F1" s="11" t="inlineStr">
        <is>
          <t>02 · Go To Special › Blanks + Ctrl+Enter</t>
        </is>
      </c>
      <c r="N1" s="12" t="inlineStr">
        <is>
          <t>ANSWER</t>
        </is>
      </c>
    </row>
    <row r="2">
      <c r="A2" s="4" t="inlineStr">
        <is>
          <t>L1</t>
        </is>
      </c>
      <c r="B2" s="4" t="inlineStr">
        <is>
          <t>Day</t>
        </is>
      </c>
      <c r="C2" s="4" t="inlineStr">
        <is>
          <t>M-101</t>
        </is>
      </c>
      <c r="D2" s="4" t="n">
        <v>412</v>
      </c>
      <c r="F2" s="10" t="inlineStr">
        <is>
          <t>Works in Excel 2013 and newer</t>
        </is>
      </c>
      <c r="N2" s="5" t="inlineStr">
        <is>
          <t>Select A2:A9. Press F5 (or Ctrl+G) › Special… › Blanks › OK. Only the empty cells stay selected. Type = then press ↑ (the formula bar shows =A2).</t>
        </is>
      </c>
    </row>
    <row r="3">
      <c r="A3" s="13" t="n"/>
      <c r="B3" s="4" t="inlineStr">
        <is>
          <t>Day</t>
        </is>
      </c>
      <c r="C3" s="4" t="inlineStr">
        <is>
          <t>M-102</t>
        </is>
      </c>
      <c r="D3" s="4" t="n">
        <v>398</v>
      </c>
      <c r="F3" s="5" t="inlineStr">
        <is>
          <t>Fill every gap in one go</t>
        </is>
      </c>
      <c r="N3" s="4" t="inlineStr">
        <is>
          <t>Expected (after the trick)</t>
        </is>
      </c>
    </row>
    <row r="4">
      <c r="A4" s="13" t="n"/>
      <c r="B4" s="4" t="inlineStr">
        <is>
          <t>Night</t>
        </is>
      </c>
      <c r="C4" s="4" t="inlineStr">
        <is>
          <t>M-101</t>
        </is>
      </c>
      <c r="D4" s="4" t="n">
        <v>371</v>
      </c>
      <c r="O4" s="4" t="inlineStr">
        <is>
          <t>L1</t>
        </is>
      </c>
    </row>
    <row r="5">
      <c r="A5" s="4" t="inlineStr">
        <is>
          <t>L2</t>
        </is>
      </c>
      <c r="B5" s="4" t="inlineStr">
        <is>
          <t>Day</t>
        </is>
      </c>
      <c r="C5" s="4" t="inlineStr">
        <is>
          <t>M-201</t>
        </is>
      </c>
      <c r="D5" s="4" t="n">
        <v>455</v>
      </c>
      <c r="F5" s="14" t="inlineStr">
        <is>
          <t>YOUR TURN  (yellow cells are yours)</t>
        </is>
      </c>
      <c r="O5" s="4" t="inlineStr">
        <is>
          <t>L1</t>
        </is>
      </c>
    </row>
    <row r="6">
      <c r="A6" s="13" t="n"/>
      <c r="B6" s="4" t="inlineStr">
        <is>
          <t>Night</t>
        </is>
      </c>
      <c r="C6" s="4" t="inlineStr">
        <is>
          <t>M-202</t>
        </is>
      </c>
      <c r="D6" s="4" t="n">
        <v>430</v>
      </c>
      <c r="F6" s="4" t="inlineStr">
        <is>
          <t>1. Select A2:A9.</t>
        </is>
      </c>
      <c r="O6" s="4" t="inlineStr">
        <is>
          <t>L1</t>
        </is>
      </c>
    </row>
    <row r="7">
      <c r="A7" s="13" t="n"/>
      <c r="B7" s="4" t="inlineStr">
        <is>
          <t>Night</t>
        </is>
      </c>
      <c r="C7" s="4" t="inlineStr">
        <is>
          <t>M-203</t>
        </is>
      </c>
      <c r="D7" s="4" t="n">
        <v>402</v>
      </c>
      <c r="F7" s="4" t="inlineStr">
        <is>
          <t>2. Press F5 (or Ctrl+G) › Special… › Blanks › OK. Only the empty cells stay selected.</t>
        </is>
      </c>
      <c r="O7" s="4" t="inlineStr">
        <is>
          <t>L2</t>
        </is>
      </c>
    </row>
    <row r="8">
      <c r="A8" s="4" t="inlineStr">
        <is>
          <t>L3</t>
        </is>
      </c>
      <c r="B8" s="4" t="inlineStr">
        <is>
          <t>Day</t>
        </is>
      </c>
      <c r="C8" s="4" t="inlineStr">
        <is>
          <t>M-301</t>
        </is>
      </c>
      <c r="D8" s="4" t="n">
        <v>389</v>
      </c>
      <c r="F8" s="4" t="inlineStr">
        <is>
          <t>3. Type = then press ↑ (the formula bar shows =A2).</t>
        </is>
      </c>
      <c r="O8" s="4" t="inlineStr">
        <is>
          <t>L2</t>
        </is>
      </c>
    </row>
    <row r="9">
      <c r="A9" s="13" t="n"/>
      <c r="B9" s="4" t="inlineStr">
        <is>
          <t>Swing</t>
        </is>
      </c>
      <c r="C9" s="4" t="inlineStr">
        <is>
          <t>M-302</t>
        </is>
      </c>
      <c r="D9" s="4" t="n">
        <v>377</v>
      </c>
      <c r="F9" s="4" t="inlineStr">
        <is>
          <t>4. Press Ctrl+Enter: every blank copies the cell above.</t>
        </is>
      </c>
      <c r="O9" s="4" t="inlineStr">
        <is>
          <t>L2</t>
        </is>
      </c>
    </row>
    <row r="10">
      <c r="F10" s="4" t="inlineStr">
        <is>
          <t>5. Optional: copy A2:A9 and paste as Values (Ctrl+Alt+V › Values) to freeze it.</t>
        </is>
      </c>
      <c r="O10" s="4" t="inlineStr">
        <is>
          <t>L3</t>
        </is>
      </c>
    </row>
    <row r="11">
      <c r="O11" s="4" t="inlineStr">
        <is>
          <t>L3</t>
        </is>
      </c>
    </row>
    <row r="12">
      <c r="F12" s="5" t="inlineStr">
        <is>
          <t>Check:</t>
        </is>
      </c>
      <c r="G12" s="15">
        <f>IF(SUMPRODUCT(--ISERROR(A2:A9))&gt;0,"✗ Some cells show an error",IF(SUMPRODUCT(--EXACT(A2:A9,$O$4:$O$11))=8,"✓ Done right!","✗ Not yet: follow the steps"))</f>
        <v/>
      </c>
    </row>
    <row r="13">
      <c r="F13" s="10" t="inlineStr">
        <is>
          <t>Stuck? The answer is in hidden columns N–T: click the [+] in the bar above the column letters.</t>
        </is>
      </c>
    </row>
    <row r="14"/>
    <row r="15">
      <c r="F15" s="9">
        <f>HYPERLINK("#'Start here'!A1","← Back to Start here")</f>
        <v/>
      </c>
    </row>
    <row r="16">
      <c r="F16" s="9">
        <f>HYPERLINK("https://inchliit.github.io/excel-to-excel/","Open the webinar deck")</f>
        <v/>
      </c>
    </row>
  </sheetData>
  <conditionalFormatting sqref="G12">
    <cfRule type="expression" priority="1" dxfId="0">
      <formula>LEFT(G12,1)="✓"</formula>
    </cfRule>
    <cfRule type="expression" priority="2" dxfId="1">
      <formula>LEFT(G12,1)="✗"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zoomScale="110" workbookViewId="0">
      <selection activeCell="A1" sqref="A1"/>
    </sheetView>
  </sheetViews>
  <sheetFormatPr baseColWidth="8" defaultRowHeight="15"/>
  <cols>
    <col width="17.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hidden="1" outlineLevel="1" width="13" customWidth="1" min="15" max="21"/>
  </cols>
  <sheetData>
    <row r="1">
      <c r="A1" s="8" t="inlineStr">
        <is>
          <t>Element</t>
        </is>
      </c>
      <c r="B1" s="8" t="inlineStr">
        <is>
          <t>Obs 1</t>
        </is>
      </c>
      <c r="C1" s="8" t="inlineStr">
        <is>
          <t>Obs 2</t>
        </is>
      </c>
      <c r="D1" s="8" t="inlineStr">
        <is>
          <t>Obs 3</t>
        </is>
      </c>
      <c r="E1" s="8" t="inlineStr">
        <is>
          <t>Obs 4</t>
        </is>
      </c>
      <c r="G1" s="11" t="inlineStr">
        <is>
          <t>03 · Paste Special › Divide</t>
        </is>
      </c>
      <c r="O1" s="12" t="inlineStr">
        <is>
          <t>ANSWER</t>
        </is>
      </c>
    </row>
    <row r="2">
      <c r="A2" s="4" t="inlineStr">
        <is>
          <t>Pick part</t>
        </is>
      </c>
      <c r="B2" s="16" t="n">
        <v>12.6</v>
      </c>
      <c r="C2" s="16" t="n">
        <v>13.2</v>
      </c>
      <c r="D2" s="16" t="n">
        <v>12</v>
      </c>
      <c r="E2" s="16" t="n">
        <v>12.6</v>
      </c>
      <c r="G2" s="17" t="inlineStr">
        <is>
          <t>Works in Excel 2013 and newer</t>
        </is>
      </c>
      <c r="O2" s="5" t="inlineStr">
        <is>
          <t>Type 60 in G2 and copy it (Ctrl+C). Select B2:E6 (the seconds). Press Ctrl+Alt+V (Mac: Cmd+Ctrl+V) › Paste: Values › Operation: Divide › OK.</t>
        </is>
      </c>
    </row>
    <row r="3">
      <c r="A3" s="4" t="inlineStr">
        <is>
          <t>Load fixture</t>
        </is>
      </c>
      <c r="B3" s="16" t="n">
        <v>18</v>
      </c>
      <c r="C3" s="16" t="n">
        <v>17.4</v>
      </c>
      <c r="D3" s="16" t="n">
        <v>18.6</v>
      </c>
      <c r="E3" s="16" t="n">
        <v>18</v>
      </c>
      <c r="G3" s="5" t="inlineStr">
        <is>
          <t>Convert a whole time study in place</t>
        </is>
      </c>
      <c r="O3" s="4" t="inlineStr">
        <is>
          <t>Expected (after the trick)</t>
        </is>
      </c>
    </row>
    <row r="4">
      <c r="A4" s="4" t="inlineStr">
        <is>
          <t>Weld</t>
        </is>
      </c>
      <c r="B4" s="16" t="n">
        <v>24.6</v>
      </c>
      <c r="C4" s="16" t="n">
        <v>25.2</v>
      </c>
      <c r="D4" s="16" t="n">
        <v>24</v>
      </c>
      <c r="E4" s="16" t="n">
        <v>24.6</v>
      </c>
      <c r="P4" s="4" t="n">
        <v>0.21</v>
      </c>
      <c r="Q4" s="4" t="n">
        <v>0.22</v>
      </c>
      <c r="R4" s="4" t="n">
        <v>0.2</v>
      </c>
      <c r="S4" s="4" t="n">
        <v>0.21</v>
      </c>
    </row>
    <row r="5">
      <c r="A5" s="4" t="inlineStr">
        <is>
          <t>Inspect</t>
        </is>
      </c>
      <c r="B5" s="16" t="n">
        <v>9</v>
      </c>
      <c r="C5" s="16" t="n">
        <v>9.6</v>
      </c>
      <c r="D5" s="16" t="n">
        <v>9</v>
      </c>
      <c r="E5" s="16" t="n">
        <v>8.4</v>
      </c>
      <c r="G5" s="14" t="inlineStr">
        <is>
          <t>YOUR TURN  (yellow cells are yours)</t>
        </is>
      </c>
      <c r="P5" s="4" t="n">
        <v>0.3</v>
      </c>
      <c r="Q5" s="4" t="n">
        <v>0.29</v>
      </c>
      <c r="R5" s="4" t="n">
        <v>0.31</v>
      </c>
      <c r="S5" s="4" t="n">
        <v>0.3</v>
      </c>
    </row>
    <row r="6">
      <c r="A6" s="4" t="inlineStr">
        <is>
          <t>Unload</t>
        </is>
      </c>
      <c r="B6" s="16" t="n">
        <v>6.6</v>
      </c>
      <c r="C6" s="16" t="n">
        <v>7.2</v>
      </c>
      <c r="D6" s="16" t="n">
        <v>6.6</v>
      </c>
      <c r="E6" s="16" t="n">
        <v>6</v>
      </c>
      <c r="G6" s="4" t="inlineStr">
        <is>
          <t>1. Type 60 in G2 and copy it (Ctrl+C).</t>
        </is>
      </c>
      <c r="P6" s="4" t="n">
        <v>0.41</v>
      </c>
      <c r="Q6" s="4" t="n">
        <v>0.42</v>
      </c>
      <c r="R6" s="4" t="n">
        <v>0.4</v>
      </c>
      <c r="S6" s="4" t="n">
        <v>0.41</v>
      </c>
    </row>
    <row r="7">
      <c r="G7" s="4" t="inlineStr">
        <is>
          <t>2. Select B2:E6 (the seconds).</t>
        </is>
      </c>
      <c r="P7" s="4" t="n">
        <v>0.15</v>
      </c>
      <c r="Q7" s="4" t="n">
        <v>0.16</v>
      </c>
      <c r="R7" s="4" t="n">
        <v>0.15</v>
      </c>
      <c r="S7" s="4" t="n">
        <v>0.14</v>
      </c>
    </row>
    <row r="8">
      <c r="G8" s="4" t="inlineStr">
        <is>
          <t>3. Press Ctrl+Alt+V (Mac: Cmd+Ctrl+V) › Paste: Values › Operation: Divide › OK.</t>
        </is>
      </c>
      <c r="P8" s="4" t="n">
        <v>0.11</v>
      </c>
      <c r="Q8" s="4" t="n">
        <v>0.12</v>
      </c>
      <c r="R8" s="4" t="n">
        <v>0.11</v>
      </c>
      <c r="S8" s="4" t="n">
        <v>0.1</v>
      </c>
    </row>
    <row r="9">
      <c r="G9" s="4" t="inlineStr">
        <is>
          <t>4. The times are now minutes, in place. You can delete G2 afterwards.</t>
        </is>
      </c>
    </row>
    <row r="10"/>
    <row r="11">
      <c r="G11" s="5" t="inlineStr">
        <is>
          <t>Check:</t>
        </is>
      </c>
      <c r="H11" s="15">
        <f>IF(SUMPRODUCT(--ISERROR(B2:E6))&gt;0,"✗ Some cells show an error",IF(SUMPRODUCT(--(ROUND(B2:E6,4)=ROUND($P$4:$S$8,4)))=20,"✓ Done right!","✗ Not yet: follow the steps"))</f>
        <v/>
      </c>
    </row>
    <row r="12">
      <c r="G12" s="10" t="inlineStr">
        <is>
          <t>Stuck? The answer is in hidden columns O–U: click the [+] in the bar above the column letters.</t>
        </is>
      </c>
    </row>
    <row r="13"/>
    <row r="14">
      <c r="G14" s="9">
        <f>HYPERLINK("#'Start here'!A1","← Back to Start here")</f>
        <v/>
      </c>
    </row>
    <row r="15">
      <c r="G15" s="9">
        <f>HYPERLINK("https://inchliit.github.io/excel-to-excel/","Open the webinar deck")</f>
        <v/>
      </c>
    </row>
  </sheetData>
  <conditionalFormatting sqref="H11">
    <cfRule type="expression" priority="1" dxfId="0">
      <formula>LEFT(H11,1)="✓"</formula>
    </cfRule>
    <cfRule type="expression" priority="2" dxfId="1">
      <formula>LEFT(H11,1)="✗"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110" workbookViewId="0">
      <selection activeCell="A1" sqref="A1"/>
    </sheetView>
  </sheetViews>
  <sheetFormatPr baseColWidth="8" defaultRowHeight="15"/>
  <cols>
    <col width="11.4" customWidth="1" min="1" max="1"/>
    <col width="9.1" customWidth="1" min="2" max="2"/>
    <col width="10.9" customWidth="1" min="3" max="3"/>
    <col width="13.1" customWidth="1" min="4" max="4"/>
    <col width="12" customWidth="1" min="5" max="5"/>
    <col width="16.6" customWidth="1" min="6" max="6"/>
    <col hidden="1" outlineLevel="1" width="13" customWidth="1" min="15" max="21"/>
  </cols>
  <sheetData>
    <row r="1">
      <c r="A1" s="8" t="inlineStr">
        <is>
          <t>Date</t>
        </is>
      </c>
      <c r="B1" s="8" t="inlineStr">
        <is>
          <t>Line</t>
        </is>
      </c>
      <c r="C1" s="8" t="inlineStr">
        <is>
          <t>Units</t>
        </is>
      </c>
      <c r="D1" s="8" t="inlineStr">
        <is>
          <t>Defects</t>
        </is>
      </c>
      <c r="E1" s="8" t="inlineStr">
        <is>
          <t>Yield</t>
        </is>
      </c>
      <c r="G1" s="11" t="inlineStr">
        <is>
          <t>04 · Ctrl+T Tables</t>
        </is>
      </c>
      <c r="O1" s="12" t="inlineStr">
        <is>
          <t>ANSWER</t>
        </is>
      </c>
    </row>
    <row r="2">
      <c r="A2" s="4" t="inlineStr">
        <is>
          <t>6-Oct</t>
        </is>
      </c>
      <c r="B2" s="4" t="inlineStr">
        <is>
          <t>L1</t>
        </is>
      </c>
      <c r="C2" s="4" t="n">
        <v>412</v>
      </c>
      <c r="D2" s="4" t="n">
        <v>6</v>
      </c>
      <c r="E2" s="13" t="n"/>
      <c r="G2" s="10" t="inlineStr">
        <is>
          <t>Works in Excel 2013 and newer</t>
        </is>
      </c>
      <c r="O2" s="5" t="inlineStr">
        <is>
          <t>Click any cell in A1:E7 and press Ctrl+T › OK (My table has headers). In E2 type =1-[@Defects]/[@Units] and press Enter: the whole column fills. Add a new day in row 8 (e.g. 8-Oct, L1, 455, 7): the table and the Yield formula grow by themselves.</t>
        </is>
      </c>
    </row>
    <row r="3">
      <c r="A3" s="4" t="inlineStr">
        <is>
          <t>6-Oct</t>
        </is>
      </c>
      <c r="B3" s="4" t="inlineStr">
        <is>
          <t>L2</t>
        </is>
      </c>
      <c r="C3" s="4" t="n">
        <v>398</v>
      </c>
      <c r="D3" s="4" t="n">
        <v>4</v>
      </c>
      <c r="E3" s="13" t="n"/>
      <c r="G3" s="5" t="inlineStr">
        <is>
          <t>Formulas and charts that grow with your log</t>
        </is>
      </c>
      <c r="O3" s="4" t="inlineStr">
        <is>
          <t>Expected (after the trick)</t>
        </is>
      </c>
    </row>
    <row r="4">
      <c r="A4" s="4" t="inlineStr">
        <is>
          <t>6-Oct</t>
        </is>
      </c>
      <c r="B4" s="4" t="inlineStr">
        <is>
          <t>L3</t>
        </is>
      </c>
      <c r="C4" s="4" t="n">
        <v>455</v>
      </c>
      <c r="D4" s="4" t="n">
        <v>9</v>
      </c>
      <c r="E4" s="13" t="n"/>
      <c r="P4" s="4" t="n">
        <v>0.9854368932038835</v>
      </c>
    </row>
    <row r="5">
      <c r="A5" s="4" t="inlineStr">
        <is>
          <t>7-Oct</t>
        </is>
      </c>
      <c r="B5" s="4" t="inlineStr">
        <is>
          <t>L1</t>
        </is>
      </c>
      <c r="C5" s="4" t="n">
        <v>430</v>
      </c>
      <c r="D5" s="4" t="n">
        <v>5</v>
      </c>
      <c r="E5" s="13" t="n"/>
      <c r="G5" s="14" t="inlineStr">
        <is>
          <t>YOUR TURN  (yellow cells are yours)</t>
        </is>
      </c>
      <c r="P5" s="4" t="n">
        <v>0.9899497487437185</v>
      </c>
    </row>
    <row r="6">
      <c r="A6" s="4" t="inlineStr">
        <is>
          <t>7-Oct</t>
        </is>
      </c>
      <c r="B6" s="4" t="inlineStr">
        <is>
          <t>L2</t>
        </is>
      </c>
      <c r="C6" s="4" t="n">
        <v>389</v>
      </c>
      <c r="D6" s="4" t="n">
        <v>8</v>
      </c>
      <c r="E6" s="13" t="n"/>
      <c r="G6" s="4" t="inlineStr">
        <is>
          <t>1. Click any cell in A1:E7 and press Ctrl+T › OK (My table has headers).</t>
        </is>
      </c>
      <c r="P6" s="4" t="n">
        <v>0.9802197802197802</v>
      </c>
    </row>
    <row r="7">
      <c r="A7" s="4" t="inlineStr">
        <is>
          <t>7-Oct</t>
        </is>
      </c>
      <c r="B7" s="4" t="inlineStr">
        <is>
          <t>L3</t>
        </is>
      </c>
      <c r="C7" s="4" t="n">
        <v>377</v>
      </c>
      <c r="D7" s="4" t="n">
        <v>3</v>
      </c>
      <c r="E7" s="13" t="n"/>
      <c r="G7" s="4" t="inlineStr">
        <is>
          <t>2. In E2 type =1-[@Defects]/[@Units] and press Enter: the whole column fills.</t>
        </is>
      </c>
      <c r="P7" s="4" t="n">
        <v>0.9883720930232558</v>
      </c>
    </row>
    <row r="8">
      <c r="G8" s="4" t="inlineStr">
        <is>
          <t>3. Add a new day in row 8 (e.g. 8-Oct, L1, 455, 7): the table and the Yield formula grow by</t>
        </is>
      </c>
      <c r="P8" s="4" t="n">
        <v>0.9794344473007712</v>
      </c>
    </row>
    <row r="9">
      <c r="G9" s="4" t="inlineStr">
        <is>
          <t xml:space="preserve">    themselves.</t>
        </is>
      </c>
      <c r="P9" s="4" t="n">
        <v>0.9920424403183024</v>
      </c>
    </row>
    <row r="10">
      <c r="G10" s="4" t="inlineStr">
        <is>
          <t>4. Bonus: Ctrl+Shift+T adds a Total Row.</t>
        </is>
      </c>
    </row>
    <row r="11"/>
    <row r="12">
      <c r="G12" s="5" t="inlineStr">
        <is>
          <t>Check:</t>
        </is>
      </c>
      <c r="H12" s="15">
        <f>IF(COUNTBLANK(E2:E7)=6,"",IF(SUMPRODUCT(--ISERROR(E2:E7))&gt;0,"✗ Some cells show an error",IF(SUMPRODUCT(--(ROUND(E2:E7,4)=ROUND($P$4:$P$9,4)))=6,"✓ Done right!","✗ Not yet: follow the steps")))</f>
        <v/>
      </c>
    </row>
    <row r="13">
      <c r="G13" s="10" t="inlineStr">
        <is>
          <t>Stuck? The answer is in hidden columns O–U: click the [+] in the bar above the column letters.</t>
        </is>
      </c>
    </row>
    <row r="14"/>
    <row r="15">
      <c r="G15" s="9">
        <f>HYPERLINK("#'Start here'!A1","← Back to Start here")</f>
        <v/>
      </c>
    </row>
    <row r="16">
      <c r="G16" s="9">
        <f>HYPERLINK("https://inchliit.github.io/excel-to-excel/","Open the webinar deck")</f>
        <v/>
      </c>
    </row>
  </sheetData>
  <conditionalFormatting sqref="H12">
    <cfRule type="expression" priority="1" dxfId="0">
      <formula>LEFT(H12,1)="✓"</formula>
    </cfRule>
    <cfRule type="expression" priority="2" dxfId="1">
      <formula>LEFT(H12,1)="✗"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zoomScale="110" workbookViewId="0">
      <selection activeCell="A1" sqref="A1"/>
    </sheetView>
  </sheetViews>
  <sheetFormatPr baseColWidth="8" defaultRowHeight="15"/>
  <cols>
    <col width="9.1" customWidth="1" min="1" max="1"/>
    <col width="9" customWidth="1" min="2" max="2"/>
    <col width="10.9" customWidth="1" min="3" max="3"/>
    <col width="17.7" customWidth="1" min="4" max="4"/>
    <col width="9" customWidth="1" min="5" max="5"/>
    <col width="9" customWidth="1" min="6" max="6"/>
    <col width="9" customWidth="1" min="7" max="7"/>
    <col width="17.7" customWidth="1" min="8" max="8"/>
    <col hidden="1" outlineLevel="1" width="13" customWidth="1" min="18" max="24"/>
  </cols>
  <sheetData>
    <row r="1">
      <c r="A1" s="8" t="inlineStr">
        <is>
          <t>Date</t>
        </is>
      </c>
      <c r="B1" s="8" t="inlineStr">
        <is>
          <t>Line</t>
        </is>
      </c>
      <c r="C1" s="8" t="inlineStr">
        <is>
          <t>Part</t>
        </is>
      </c>
      <c r="D1" s="8" t="inlineStr">
        <is>
          <t>Defect</t>
        </is>
      </c>
      <c r="E1" s="8" t="inlineStr">
        <is>
          <t>Qty</t>
        </is>
      </c>
      <c r="H1" s="8" t="inlineStr">
        <is>
          <t>Defect list</t>
        </is>
      </c>
      <c r="J1" s="11" t="inlineStr">
        <is>
          <t>05 · Data Validation dropdowns</t>
        </is>
      </c>
      <c r="R1" s="12" t="inlineStr">
        <is>
          <t>ANSWER</t>
        </is>
      </c>
    </row>
    <row r="2">
      <c r="A2" s="4" t="inlineStr">
        <is>
          <t>6-Oct</t>
        </is>
      </c>
      <c r="B2" s="4" t="inlineStr">
        <is>
          <t>L1</t>
        </is>
      </c>
      <c r="C2" s="4" t="inlineStr">
        <is>
          <t>BRK-12</t>
        </is>
      </c>
      <c r="D2" s="6" t="inlineStr">
        <is>
          <t>Scratch</t>
        </is>
      </c>
      <c r="E2" s="4" t="n">
        <v>3</v>
      </c>
      <c r="H2" s="4" t="inlineStr">
        <is>
          <t>Scratch</t>
        </is>
      </c>
      <c r="J2" s="10" t="inlineStr">
        <is>
          <t>Works in Excel 2013 and newer</t>
        </is>
      </c>
      <c r="R2" s="4" t="inlineStr">
        <is>
          <t>The typo cells (scrtch, Scrach, "Dent " with a trailing space, Crak) get red circles.</t>
        </is>
      </c>
    </row>
    <row r="3">
      <c r="A3" s="4" t="inlineStr">
        <is>
          <t>6-Oct</t>
        </is>
      </c>
      <c r="B3" s="4" t="inlineStr">
        <is>
          <t>L2</t>
        </is>
      </c>
      <c r="C3" s="4" t="inlineStr">
        <is>
          <t>HSG-40</t>
        </is>
      </c>
      <c r="D3" s="6" t="inlineStr">
        <is>
          <t>scrtch</t>
        </is>
      </c>
      <c r="E3" s="4" t="n">
        <v>2</v>
      </c>
      <c r="H3" s="4" t="inlineStr">
        <is>
          <t>Dent</t>
        </is>
      </c>
      <c r="J3" s="5" t="inlineStr">
        <is>
          <t>Stop 'scrtch' before it starts</t>
        </is>
      </c>
    </row>
    <row r="4">
      <c r="A4" s="4" t="inlineStr">
        <is>
          <t>6-Oct</t>
        </is>
      </c>
      <c r="B4" s="4" t="inlineStr">
        <is>
          <t>L3</t>
        </is>
      </c>
      <c r="C4" s="4" t="inlineStr">
        <is>
          <t>SFT-08</t>
        </is>
      </c>
      <c r="D4" s="6" t="inlineStr">
        <is>
          <t>Dent</t>
        </is>
      </c>
      <c r="E4" s="4" t="n">
        <v>1</v>
      </c>
      <c r="H4" s="4" t="inlineStr">
        <is>
          <t>Crack</t>
        </is>
      </c>
    </row>
    <row r="5">
      <c r="A5" s="4" t="inlineStr">
        <is>
          <t>7-Oct</t>
        </is>
      </c>
      <c r="B5" s="4" t="inlineStr">
        <is>
          <t>L1</t>
        </is>
      </c>
      <c r="C5" s="4" t="inlineStr">
        <is>
          <t>BRK-12</t>
        </is>
      </c>
      <c r="D5" s="6" t="inlineStr">
        <is>
          <t>Crack</t>
        </is>
      </c>
      <c r="E5" s="4" t="n">
        <v>4</v>
      </c>
      <c r="H5" s="4" t="inlineStr">
        <is>
          <t>Misalignment</t>
        </is>
      </c>
      <c r="J5" s="14" t="inlineStr">
        <is>
          <t>YOUR TURN  (yellow cells are yours)</t>
        </is>
      </c>
    </row>
    <row r="6">
      <c r="A6" s="4" t="inlineStr">
        <is>
          <t>7-Oct</t>
        </is>
      </c>
      <c r="B6" s="4" t="inlineStr">
        <is>
          <t>L2</t>
        </is>
      </c>
      <c r="C6" s="4" t="inlineStr">
        <is>
          <t>HSG-40</t>
        </is>
      </c>
      <c r="D6" s="6" t="inlineStr">
        <is>
          <t>Scrach</t>
        </is>
      </c>
      <c r="E6" s="4" t="n">
        <v>2</v>
      </c>
      <c r="H6" s="4" t="inlineStr">
        <is>
          <t>Burr</t>
        </is>
      </c>
      <c r="J6" s="4" t="inlineStr">
        <is>
          <t>1. Select D2:D11.</t>
        </is>
      </c>
    </row>
    <row r="7">
      <c r="A7" s="4" t="inlineStr">
        <is>
          <t>7-Oct</t>
        </is>
      </c>
      <c r="B7" s="4" t="inlineStr">
        <is>
          <t>L3</t>
        </is>
      </c>
      <c r="C7" s="4" t="inlineStr">
        <is>
          <t>SFT-08</t>
        </is>
      </c>
      <c r="D7" s="6" t="inlineStr">
        <is>
          <t xml:space="preserve">Dent </t>
        </is>
      </c>
      <c r="E7" s="4" t="n">
        <v>5</v>
      </c>
      <c r="J7" s="4" t="inlineStr">
        <is>
          <t>2. Data › Data Tools › Data Validation (keys: Alt, A, V, V).</t>
        </is>
      </c>
    </row>
    <row r="8">
      <c r="A8" s="4" t="inlineStr">
        <is>
          <t>8-Oct</t>
        </is>
      </c>
      <c r="B8" s="4" t="inlineStr">
        <is>
          <t>L1</t>
        </is>
      </c>
      <c r="C8" s="4" t="inlineStr">
        <is>
          <t>BRK-12</t>
        </is>
      </c>
      <c r="D8" s="6" t="inlineStr">
        <is>
          <t>Crak</t>
        </is>
      </c>
      <c r="E8" s="4" t="n">
        <v>1</v>
      </c>
      <c r="J8" s="4" t="inlineStr">
        <is>
          <t>3. Allow: List · Source: =$H$2:$H$6 · tick In-cell dropdown › OK.</t>
        </is>
      </c>
    </row>
    <row r="9">
      <c r="A9" s="4" t="inlineStr">
        <is>
          <t>8-Oct</t>
        </is>
      </c>
      <c r="B9" s="4" t="inlineStr">
        <is>
          <t>L2</t>
        </is>
      </c>
      <c r="C9" s="4" t="inlineStr">
        <is>
          <t>HSG-40</t>
        </is>
      </c>
      <c r="D9" s="6" t="inlineStr">
        <is>
          <t>Misalignment</t>
        </is>
      </c>
      <c r="E9" s="4" t="n">
        <v>2</v>
      </c>
      <c r="J9" s="4" t="inlineStr">
        <is>
          <t>4. Click D2: pick from the list. Try typing crak: Excel refuses it.</t>
        </is>
      </c>
    </row>
    <row r="10">
      <c r="A10" s="4" t="inlineStr">
        <is>
          <t>8-Oct</t>
        </is>
      </c>
      <c r="B10" s="4" t="inlineStr">
        <is>
          <t>L3</t>
        </is>
      </c>
      <c r="C10" s="4" t="inlineStr">
        <is>
          <t>SFT-08</t>
        </is>
      </c>
      <c r="D10" s="13" t="n"/>
      <c r="E10" s="4" t="n">
        <v>3</v>
      </c>
      <c r="J10" s="4" t="inlineStr">
        <is>
          <t>5. Data › Data Validation (arrow) › Circle Invalid Data shows the old bad entries.</t>
        </is>
      </c>
    </row>
    <row r="11">
      <c r="A11" s="4" t="inlineStr">
        <is>
          <t>9-Oct</t>
        </is>
      </c>
      <c r="B11" s="4" t="inlineStr">
        <is>
          <t>L1</t>
        </is>
      </c>
      <c r="C11" s="4" t="inlineStr">
        <is>
          <t>BRK-12</t>
        </is>
      </c>
      <c r="D11" s="13" t="n"/>
      <c r="E11" s="4" t="n">
        <v>2</v>
      </c>
    </row>
    <row r="12">
      <c r="J12" s="5" t="inlineStr">
        <is>
          <t>What you should see:</t>
        </is>
      </c>
    </row>
    <row r="13">
      <c r="J13" s="4" t="inlineStr">
        <is>
          <t>The typo cells (scrtch, Scrach, "Dent " with a trailing space, Crak) get red circles.</t>
        </is>
      </c>
    </row>
    <row r="14"/>
    <row r="15"/>
    <row r="16"/>
    <row r="17">
      <c r="J17" s="9">
        <f>HYPERLINK("#'Start here'!A1","← Back to Start here")</f>
        <v/>
      </c>
    </row>
    <row r="18">
      <c r="J18" s="9">
        <f>HYPERLINK("https://inchliit.github.io/excel-to-excel/","Open the webinar deck")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11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hidden="1" outlineLevel="1" width="13" customWidth="1" min="17" max="23"/>
  </cols>
  <sheetData>
    <row r="1">
      <c r="A1" s="8" t="inlineStr">
        <is>
          <t>Part</t>
        </is>
      </c>
      <c r="B1" s="8" t="inlineStr">
        <is>
          <t>Unit cost</t>
        </is>
      </c>
      <c r="C1" s="8" t="n">
        <v>100</v>
      </c>
      <c r="D1" s="8" t="n">
        <v>250</v>
      </c>
      <c r="E1" s="8" t="n">
        <v>500</v>
      </c>
      <c r="F1" s="8" t="n">
        <v>1000</v>
      </c>
      <c r="G1" s="8" t="n">
        <v>2500</v>
      </c>
      <c r="I1" s="11" t="inlineStr">
        <is>
          <t>06 · Mixed references with F4</t>
        </is>
      </c>
      <c r="Q1" s="12" t="inlineStr">
        <is>
          <t>ANSWER</t>
        </is>
      </c>
    </row>
    <row r="2">
      <c r="A2" s="4" t="inlineStr">
        <is>
          <t>Bracket</t>
        </is>
      </c>
      <c r="B2" s="18" t="n">
        <v>12.5</v>
      </c>
      <c r="C2" s="13" t="n"/>
      <c r="D2" s="13" t="n"/>
      <c r="E2" s="13" t="n"/>
      <c r="F2" s="13" t="n"/>
      <c r="G2" s="13" t="n"/>
      <c r="I2" s="10" t="inlineStr">
        <is>
          <t>Works in Excel 2013 and newer</t>
        </is>
      </c>
      <c r="Q2" s="5" t="inlineStr">
        <is>
          <t>=$B2*C$1</t>
        </is>
      </c>
    </row>
    <row r="3">
      <c r="A3" s="4" t="inlineStr">
        <is>
          <t>Housing</t>
        </is>
      </c>
      <c r="B3" s="18" t="n">
        <v>8.75</v>
      </c>
      <c r="C3" s="13" t="n"/>
      <c r="D3" s="13" t="n"/>
      <c r="E3" s="13" t="n"/>
      <c r="F3" s="13" t="n"/>
      <c r="G3" s="13" t="n"/>
      <c r="I3" s="5" t="inlineStr">
        <is>
          <t>One formula, whole cost grid</t>
        </is>
      </c>
      <c r="Q3" s="4" t="inlineStr">
        <is>
          <t>Expected</t>
        </is>
      </c>
    </row>
    <row r="4">
      <c r="A4" s="4" t="inlineStr">
        <is>
          <t>Shaft</t>
        </is>
      </c>
      <c r="B4" s="18" t="n">
        <v>4.2</v>
      </c>
      <c r="C4" s="13" t="n"/>
      <c r="D4" s="13" t="n"/>
      <c r="E4" s="13" t="n"/>
      <c r="F4" s="13" t="n"/>
      <c r="G4" s="13" t="n"/>
      <c r="R4" s="4" t="n">
        <v>1250</v>
      </c>
      <c r="S4" s="4" t="n">
        <v>3125</v>
      </c>
      <c r="T4" s="4" t="n">
        <v>6250</v>
      </c>
      <c r="U4" s="4" t="n">
        <v>12500</v>
      </c>
      <c r="V4" s="4" t="n">
        <v>31250</v>
      </c>
    </row>
    <row r="5">
      <c r="A5" s="4" t="inlineStr">
        <is>
          <t>Gear</t>
        </is>
      </c>
      <c r="B5" s="18" t="n">
        <v>22</v>
      </c>
      <c r="C5" s="13" t="n"/>
      <c r="D5" s="13" t="n"/>
      <c r="E5" s="13" t="n"/>
      <c r="F5" s="13" t="n"/>
      <c r="G5" s="13" t="n"/>
      <c r="I5" s="14" t="inlineStr">
        <is>
          <t>YOUR TURN  (yellow cells are yours)</t>
        </is>
      </c>
      <c r="R5" s="4" t="n">
        <v>875</v>
      </c>
      <c r="S5" s="4" t="n">
        <v>2187.5</v>
      </c>
      <c r="T5" s="4" t="n">
        <v>4375</v>
      </c>
      <c r="U5" s="4" t="n">
        <v>8750</v>
      </c>
      <c r="V5" s="4" t="n">
        <v>21875</v>
      </c>
    </row>
    <row r="6">
      <c r="A6" s="4" t="inlineStr">
        <is>
          <t>Bolt kit</t>
        </is>
      </c>
      <c r="B6" s="18" t="n">
        <v>1.35</v>
      </c>
      <c r="C6" s="13" t="n"/>
      <c r="D6" s="13" t="n"/>
      <c r="E6" s="13" t="n"/>
      <c r="F6" s="13" t="n"/>
      <c r="G6" s="13" t="n"/>
      <c r="I6" s="4" t="inlineStr">
        <is>
          <t>Cost = unit cost (column B) × batch quantity (row 1). Type ONE formula in C2 that is still</t>
        </is>
      </c>
      <c r="R6" s="4" t="n">
        <v>420</v>
      </c>
      <c r="S6" s="4" t="n">
        <v>1050</v>
      </c>
      <c r="T6" s="4" t="n">
        <v>2100</v>
      </c>
      <c r="U6" s="4" t="n">
        <v>4200</v>
      </c>
      <c r="V6" s="4" t="n">
        <v>10500</v>
      </c>
    </row>
    <row r="7">
      <c r="I7" s="4" t="inlineStr">
        <is>
          <t xml:space="preserve">    right when filled to G6.</t>
        </is>
      </c>
      <c r="R7" s="4" t="n">
        <v>2200</v>
      </c>
      <c r="S7" s="4" t="n">
        <v>5500</v>
      </c>
      <c r="T7" s="4" t="n">
        <v>11000</v>
      </c>
      <c r="U7" s="4" t="n">
        <v>22000</v>
      </c>
      <c r="V7" s="4" t="n">
        <v>55000</v>
      </c>
    </row>
    <row r="8">
      <c r="R8" s="4" t="n">
        <v>135</v>
      </c>
      <c r="S8" s="4" t="n">
        <v>337.5</v>
      </c>
      <c r="T8" s="4" t="n">
        <v>675</v>
      </c>
      <c r="U8" s="4" t="n">
        <v>1350</v>
      </c>
      <c r="V8" s="4" t="n">
        <v>3375</v>
      </c>
    </row>
    <row r="9">
      <c r="I9" s="5" t="inlineStr">
        <is>
          <t>Check:</t>
        </is>
      </c>
      <c r="J9" s="15">
        <f>IF(COUNTBLANK(C2:G6)=25,"",IF(SUMPRODUCT(--ISERROR(C2:G6))&gt;0,"✗ Some cells show an error",IF(SUMPRODUCT(--(ROUND(C2:G6,6)=ROUND($R$4:$V$8,6)))=25,"✓ Correct!","✗ Not yet: compare with the task")))</f>
        <v/>
      </c>
    </row>
    <row r="10">
      <c r="I10" s="10" t="inlineStr">
        <is>
          <t>Stuck? The answer is in hidden columns Q–W: click the [+] in the bar above the column letters.</t>
        </is>
      </c>
    </row>
    <row r="11">
      <c r="Q11" s="19" t="inlineStr">
        <is>
          <t>Hint: Lock the column of the cost ($B) and the row of the qty ($1).</t>
        </is>
      </c>
    </row>
    <row r="12">
      <c r="I12" s="9">
        <f>HYPERLINK("#'Start here'!A1","← Back to Start here")</f>
        <v/>
      </c>
    </row>
    <row r="13">
      <c r="I13" s="9">
        <f>HYPERLINK("https://inchliit.github.io/excel-to-excel/","Open the webinar deck")</f>
        <v/>
      </c>
    </row>
  </sheetData>
  <conditionalFormatting sqref="J9">
    <cfRule type="expression" priority="1" dxfId="0">
      <formula>LEFT(J9,1)="✓"</formula>
    </cfRule>
    <cfRule type="expression" priority="2" dxfId="1">
      <formula>LEFT(J9,1)="✗"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3"/>
  <sheetViews>
    <sheetView zoomScale="11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hidden="1" outlineLevel="1" width="13" customWidth="1" min="17" max="23"/>
  </cols>
  <sheetData>
    <row r="1">
      <c r="A1" s="8" t="inlineStr">
        <is>
          <t>Date</t>
        </is>
      </c>
      <c r="B1" s="8" t="inlineStr">
        <is>
          <t>Line</t>
        </is>
      </c>
      <c r="C1" s="8" t="inlineStr">
        <is>
          <t>Shift</t>
        </is>
      </c>
      <c r="D1" s="8" t="inlineStr">
        <is>
          <t>Defects</t>
        </is>
      </c>
      <c r="F1" s="8" t="inlineStr">
        <is>
          <t>Question</t>
        </is>
      </c>
      <c r="G1" s="8" t="inlineStr">
        <is>
          <t>Answer</t>
        </is>
      </c>
      <c r="I1" s="11" t="inlineStr">
        <is>
          <t>07 · SUMIFS / COUNTIFS</t>
        </is>
      </c>
      <c r="Q1" s="12" t="inlineStr">
        <is>
          <t>ANSWER</t>
        </is>
      </c>
    </row>
    <row r="2">
      <c r="A2" s="4" t="inlineStr">
        <is>
          <t>5-Oct</t>
        </is>
      </c>
      <c r="B2" s="4" t="inlineStr">
        <is>
          <t>L1</t>
        </is>
      </c>
      <c r="C2" s="4" t="inlineStr">
        <is>
          <t>Day</t>
        </is>
      </c>
      <c r="D2" s="4" t="n">
        <v>4</v>
      </c>
      <c r="F2" s="4" t="inlineStr">
        <is>
          <t>L2, Night</t>
        </is>
      </c>
      <c r="G2" s="13" t="n"/>
      <c r="I2" s="10" t="inlineStr">
        <is>
          <t>Works in Excel 2013 and newer</t>
        </is>
      </c>
      <c r="Q2" s="5" t="inlineStr">
        <is>
          <t>=SUMIFS(D2:D13,B2:B13,"L2",C2:C13,"Night")</t>
        </is>
      </c>
    </row>
    <row r="3">
      <c r="A3" s="4" t="inlineStr">
        <is>
          <t>5-Oct</t>
        </is>
      </c>
      <c r="B3" s="4" t="inlineStr">
        <is>
          <t>L2</t>
        </is>
      </c>
      <c r="C3" s="4" t="inlineStr">
        <is>
          <t>Day</t>
        </is>
      </c>
      <c r="D3" s="4" t="n">
        <v>6</v>
      </c>
      <c r="I3" s="5" t="inlineStr">
        <is>
          <t>Defects by line AND shift</t>
        </is>
      </c>
      <c r="Q3" s="4" t="inlineStr">
        <is>
          <t>Expected</t>
        </is>
      </c>
      <c r="R3" s="4" t="n">
        <v>27</v>
      </c>
    </row>
    <row r="4">
      <c r="A4" s="4" t="inlineStr">
        <is>
          <t>5-Oct</t>
        </is>
      </c>
      <c r="B4" s="4" t="inlineStr">
        <is>
          <t>L2</t>
        </is>
      </c>
      <c r="C4" s="4" t="inlineStr">
        <is>
          <t>Night</t>
        </is>
      </c>
      <c r="D4" s="4" t="n">
        <v>9</v>
      </c>
    </row>
    <row r="5">
      <c r="A5" s="4" t="inlineStr">
        <is>
          <t>5-Oct</t>
        </is>
      </c>
      <c r="B5" s="4" t="inlineStr">
        <is>
          <t>L3</t>
        </is>
      </c>
      <c r="C5" s="4" t="inlineStr">
        <is>
          <t>Night</t>
        </is>
      </c>
      <c r="D5" s="4" t="n">
        <v>3</v>
      </c>
      <c r="I5" s="14" t="inlineStr">
        <is>
          <t>YOUR TURN  (yellow cells are yours)</t>
        </is>
      </c>
    </row>
    <row r="6">
      <c r="A6" s="4" t="inlineStr">
        <is>
          <t>6-Oct</t>
        </is>
      </c>
      <c r="B6" s="4" t="inlineStr">
        <is>
          <t>L1</t>
        </is>
      </c>
      <c r="C6" s="4" t="inlineStr">
        <is>
          <t>Night</t>
        </is>
      </c>
      <c r="D6" s="4" t="n">
        <v>7</v>
      </c>
      <c r="I6" s="4" t="inlineStr">
        <is>
          <t>Total defects for Line L2 on the Night shift. Type one formula in G2.</t>
        </is>
      </c>
      <c r="Q6" s="19" t="inlineStr">
        <is>
          <t>Hint: Sum range first (D2:D13), then pairs of criteria range and criteria: B2:B13 with "L2", C2:C13 with "Night".</t>
        </is>
      </c>
    </row>
    <row r="7">
      <c r="A7" s="4" t="inlineStr">
        <is>
          <t>6-Oct</t>
        </is>
      </c>
      <c r="B7" s="4" t="inlineStr">
        <is>
          <t>L2</t>
        </is>
      </c>
      <c r="C7" s="4" t="inlineStr">
        <is>
          <t>Day</t>
        </is>
      </c>
      <c r="D7" s="4" t="n">
        <v>5</v>
      </c>
    </row>
    <row r="8">
      <c r="A8" s="4" t="inlineStr">
        <is>
          <t>6-Oct</t>
        </is>
      </c>
      <c r="B8" s="4" t="inlineStr">
        <is>
          <t>L2</t>
        </is>
      </c>
      <c r="C8" s="4" t="inlineStr">
        <is>
          <t>Night</t>
        </is>
      </c>
      <c r="D8" s="4" t="n">
        <v>12</v>
      </c>
      <c r="I8" s="5" t="inlineStr">
        <is>
          <t>Check:</t>
        </is>
      </c>
      <c r="J8" s="15">
        <f>IF(ISBLANK(G2),"",IF(ISERROR(G2),"✗ Your formula returns an error",IF(ABS(G2-$R$3)&lt;0.000001,"✓ Correct!","✗ Not yet: check the ranges and criteria")))</f>
        <v/>
      </c>
    </row>
    <row r="9">
      <c r="A9" s="4" t="inlineStr">
        <is>
          <t>6-Oct</t>
        </is>
      </c>
      <c r="B9" s="4" t="inlineStr">
        <is>
          <t>L3</t>
        </is>
      </c>
      <c r="C9" s="4" t="inlineStr">
        <is>
          <t>Day</t>
        </is>
      </c>
      <c r="D9" s="4" t="n">
        <v>2</v>
      </c>
      <c r="I9" s="10" t="inlineStr">
        <is>
          <t>Stuck? The answer is in hidden columns Q–W: click the [+] in the bar above the column letters.</t>
        </is>
      </c>
    </row>
    <row r="10">
      <c r="A10" s="4" t="inlineStr">
        <is>
          <t>7-Oct</t>
        </is>
      </c>
      <c r="B10" s="4" t="inlineStr">
        <is>
          <t>L1</t>
        </is>
      </c>
      <c r="C10" s="4" t="inlineStr">
        <is>
          <t>Day</t>
        </is>
      </c>
      <c r="D10" s="4" t="n">
        <v>8</v>
      </c>
    </row>
    <row r="11">
      <c r="A11" s="4" t="inlineStr">
        <is>
          <t>7-Oct</t>
        </is>
      </c>
      <c r="B11" s="4" t="inlineStr">
        <is>
          <t>L2</t>
        </is>
      </c>
      <c r="C11" s="4" t="inlineStr">
        <is>
          <t>Night</t>
        </is>
      </c>
      <c r="D11" s="4" t="n">
        <v>6</v>
      </c>
      <c r="I11" s="9">
        <f>HYPERLINK("#'Start here'!A1","← Back to Start here")</f>
        <v/>
      </c>
    </row>
    <row r="12">
      <c r="A12" s="4" t="inlineStr">
        <is>
          <t>7-Oct</t>
        </is>
      </c>
      <c r="B12" s="4" t="inlineStr">
        <is>
          <t>L3</t>
        </is>
      </c>
      <c r="C12" s="4" t="inlineStr">
        <is>
          <t>Night</t>
        </is>
      </c>
      <c r="D12" s="4" t="n">
        <v>10</v>
      </c>
      <c r="I12" s="9">
        <f>HYPERLINK("https://inchliit.github.io/excel-to-excel/","Open the webinar deck")</f>
        <v/>
      </c>
    </row>
    <row r="13">
      <c r="A13" s="4" t="inlineStr">
        <is>
          <t>7-Oct</t>
        </is>
      </c>
      <c r="B13" s="4" t="inlineStr">
        <is>
          <t>L1</t>
        </is>
      </c>
      <c r="C13" s="4" t="inlineStr">
        <is>
          <t>Night</t>
        </is>
      </c>
      <c r="D13" s="4" t="n">
        <v>4</v>
      </c>
    </row>
  </sheetData>
  <conditionalFormatting sqref="J8">
    <cfRule type="expression" priority="1" dxfId="0">
      <formula>LEFT(J8,1)="✓"</formula>
    </cfRule>
    <cfRule type="expression" priority="2" dxfId="1">
      <formula>LEFT(J8,1)="✗"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"/>
  <sheetViews>
    <sheetView zoomScale="11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hidden="1" outlineLevel="1" width="13" customWidth="1" min="17" max="23"/>
  </cols>
  <sheetData>
    <row r="1">
      <c r="A1" s="8" t="inlineStr">
        <is>
          <t>Machine</t>
        </is>
      </c>
      <c r="B1" s="8" t="inlineStr">
        <is>
          <t>Day</t>
        </is>
      </c>
      <c r="C1" s="8" t="inlineStr">
        <is>
          <t>Swing</t>
        </is>
      </c>
      <c r="D1" s="8" t="inlineStr">
        <is>
          <t>Night</t>
        </is>
      </c>
      <c r="I1" s="11" t="inlineStr">
        <is>
          <t>08 · INDEX + MATCH</t>
        </is>
      </c>
      <c r="Q1" s="12" t="inlineStr">
        <is>
          <t>ANSWER</t>
        </is>
      </c>
    </row>
    <row r="2">
      <c r="A2" s="4" t="inlineStr">
        <is>
          <t>M-101</t>
        </is>
      </c>
      <c r="B2" s="4" t="n">
        <v>420</v>
      </c>
      <c r="C2" s="4" t="n">
        <v>405</v>
      </c>
      <c r="D2" s="4" t="n">
        <v>360</v>
      </c>
      <c r="F2" s="4" t="inlineStr">
        <is>
          <t>Machine</t>
        </is>
      </c>
      <c r="G2" s="4" t="inlineStr">
        <is>
          <t>M-105</t>
        </is>
      </c>
      <c r="I2" s="10" t="inlineStr">
        <is>
          <t>Works in Excel 2013 and newer</t>
        </is>
      </c>
      <c r="Q2" s="5" t="inlineStr">
        <is>
          <t>=INDEX(B2:D7,MATCH(G2,A2:A7,0),MATCH(G3,B1:D1,0))</t>
        </is>
      </c>
    </row>
    <row r="3">
      <c r="A3" s="4" t="inlineStr">
        <is>
          <t>M-102</t>
        </is>
      </c>
      <c r="B3" s="4" t="n">
        <v>380</v>
      </c>
      <c r="C3" s="4" t="n">
        <v>352</v>
      </c>
      <c r="D3" s="4" t="n">
        <v>318</v>
      </c>
      <c r="F3" s="4" t="inlineStr">
        <is>
          <t>Shift</t>
        </is>
      </c>
      <c r="G3" s="4" t="inlineStr">
        <is>
          <t>Swing</t>
        </is>
      </c>
      <c r="I3" s="5" t="inlineStr">
        <is>
          <t>Two-way lookup</t>
        </is>
      </c>
      <c r="Q3" s="4" t="inlineStr">
        <is>
          <t>Expected</t>
        </is>
      </c>
      <c r="R3" s="4" t="n">
        <v>471</v>
      </c>
    </row>
    <row r="4">
      <c r="A4" s="4" t="inlineStr">
        <is>
          <t>M-103</t>
        </is>
      </c>
      <c r="B4" s="4" t="n">
        <v>455</v>
      </c>
      <c r="C4" s="4" t="n">
        <v>437</v>
      </c>
      <c r="D4" s="4" t="n">
        <v>398</v>
      </c>
      <c r="F4" s="4" t="inlineStr">
        <is>
          <t>Capacity</t>
        </is>
      </c>
      <c r="G4" s="13" t="n"/>
    </row>
    <row r="5">
      <c r="A5" s="4" t="inlineStr">
        <is>
          <t>M-104</t>
        </is>
      </c>
      <c r="B5" s="4" t="n">
        <v>312</v>
      </c>
      <c r="C5" s="4" t="n">
        <v>296</v>
      </c>
      <c r="D5" s="4" t="n">
        <v>274</v>
      </c>
      <c r="I5" s="14" t="inlineStr">
        <is>
          <t>YOUR TURN  (yellow cells are yours)</t>
        </is>
      </c>
    </row>
    <row r="6">
      <c r="A6" s="4" t="inlineStr">
        <is>
          <t>M-105</t>
        </is>
      </c>
      <c r="B6" s="4" t="n">
        <v>498</v>
      </c>
      <c r="C6" s="4" t="n">
        <v>471</v>
      </c>
      <c r="D6" s="4" t="n">
        <v>446</v>
      </c>
      <c r="I6" s="4" t="inlineStr">
        <is>
          <t>Inputs are set: machine M-105 in G2, shift Swing in G3. In G4, return its capacity with</t>
        </is>
      </c>
      <c r="Q6" s="19" t="inlineStr">
        <is>
          <t>Hint: INDEX(B2:D7, row, column). Row = MATCH(G2, A2:A7, 0); column = MATCH(G3, B1:D1, 0). Always end MATCH with 0.</t>
        </is>
      </c>
    </row>
    <row r="7">
      <c r="A7" s="4" t="inlineStr">
        <is>
          <t>M-106</t>
        </is>
      </c>
      <c r="B7" s="4" t="n">
        <v>350</v>
      </c>
      <c r="C7" s="4" t="n">
        <v>333</v>
      </c>
      <c r="D7" s="4" t="n">
        <v>301</v>
      </c>
      <c r="I7" s="4" t="inlineStr">
        <is>
          <t xml:space="preserve">    INDEX and two MATCHes that point at G2 and G3.</t>
        </is>
      </c>
    </row>
    <row r="8"/>
    <row r="9">
      <c r="I9" s="5" t="inlineStr">
        <is>
          <t>Check:</t>
        </is>
      </c>
      <c r="J9" s="15">
        <f>IF(ISBLANK(G4),"",IF(ISERROR(G4),"✗ Your formula returns an error",IF(ABS(G4-$R$3)&lt;0.000001,"✓ Correct!","✗ Not yet: check the ranges and criteria")))</f>
        <v/>
      </c>
    </row>
    <row r="10">
      <c r="I10" s="10" t="inlineStr">
        <is>
          <t>Stuck? The answer is in hidden columns Q–W: click the [+] in the bar above the column letters.</t>
        </is>
      </c>
    </row>
    <row r="11"/>
    <row r="12">
      <c r="I12" s="9">
        <f>HYPERLINK("#'Start here'!A1","← Back to Start here")</f>
        <v/>
      </c>
    </row>
    <row r="13">
      <c r="I13" s="9">
        <f>HYPERLINK("https://inchliit.github.io/excel-to-excel/","Open the webinar deck")</f>
        <v/>
      </c>
    </row>
  </sheetData>
  <conditionalFormatting sqref="J9">
    <cfRule type="expression" priority="1" dxfId="0">
      <formula>LEFT(J9,1)="✓"</formula>
    </cfRule>
    <cfRule type="expression" priority="2" dxfId="1">
      <formula>LEFT(J9,1)="✗"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3"/>
  <sheetViews>
    <sheetView zoomScale="110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4" customWidth="1" min="4" max="4"/>
    <col width="10" customWidth="1" min="5" max="5"/>
    <col width="10" customWidth="1" min="6" max="6"/>
    <col width="17" customWidth="1" min="7" max="7"/>
    <col hidden="1" outlineLevel="1" width="13" customWidth="1" min="17" max="23"/>
  </cols>
  <sheetData>
    <row r="1">
      <c r="A1" s="8" t="inlineStr">
        <is>
          <t>Part No</t>
        </is>
      </c>
      <c r="B1" s="8" t="inlineStr">
        <is>
          <t>Description</t>
        </is>
      </c>
      <c r="C1" s="8" t="inlineStr">
        <is>
          <t>Std Time (min)</t>
        </is>
      </c>
      <c r="D1" s="8" t="inlineStr">
        <is>
          <t>Work Center</t>
        </is>
      </c>
      <c r="F1" s="8" t="inlineStr">
        <is>
          <t>Part No</t>
        </is>
      </c>
      <c r="G1" s="8" t="inlineStr">
        <is>
          <t>Std Time (min)</t>
        </is>
      </c>
      <c r="I1" s="11" t="inlineStr">
        <is>
          <t>09 · XLOOKUP</t>
        </is>
      </c>
      <c r="Q1" s="12" t="inlineStr">
        <is>
          <t>ANSWER</t>
        </is>
      </c>
    </row>
    <row r="2">
      <c r="A2" s="4" t="inlineStr">
        <is>
          <t>P-1001</t>
        </is>
      </c>
      <c r="B2" s="4" t="inlineStr">
        <is>
          <t>Motor mount</t>
        </is>
      </c>
      <c r="C2" s="20" t="n">
        <v>6.4</v>
      </c>
      <c r="D2" s="4" t="inlineStr">
        <is>
          <t>Machining</t>
        </is>
      </c>
      <c r="F2" s="4" t="inlineStr">
        <is>
          <t>P-1058</t>
        </is>
      </c>
      <c r="G2" s="13" t="n"/>
      <c r="I2" s="10" t="inlineStr">
        <is>
          <t>Needs Microsoft 365 or Excel 2021 (older Excel shows #NAME?)</t>
        </is>
      </c>
      <c r="Q2" s="5" t="inlineStr">
        <is>
          <t>=XLOOKUP(F2,A2:A9,C2:C9)</t>
        </is>
      </c>
    </row>
    <row r="3">
      <c r="A3" s="4" t="inlineStr">
        <is>
          <t>P-1012</t>
        </is>
      </c>
      <c r="B3" s="4" t="inlineStr">
        <is>
          <t>Cover plate</t>
        </is>
      </c>
      <c r="C3" s="20" t="n">
        <v>3.2</v>
      </c>
      <c r="D3" s="4" t="inlineStr">
        <is>
          <t>Press</t>
        </is>
      </c>
      <c r="I3" s="5" t="inlineStr">
        <is>
          <t>Lookups without column numbers</t>
        </is>
      </c>
      <c r="Q3" s="4" t="inlineStr">
        <is>
          <t>Expected</t>
        </is>
      </c>
      <c r="R3" s="4" t="n">
        <v>9.800000000000001</v>
      </c>
    </row>
    <row r="4">
      <c r="A4" s="4" t="inlineStr">
        <is>
          <t>P-1027</t>
        </is>
      </c>
      <c r="B4" s="4" t="inlineStr">
        <is>
          <t>Weld bracket</t>
        </is>
      </c>
      <c r="C4" s="20" t="n">
        <v>8.5</v>
      </c>
      <c r="D4" s="4" t="inlineStr">
        <is>
          <t>Welding</t>
        </is>
      </c>
      <c r="I4" s="21" t="inlineStr">
        <is>
          <t>Older Excel: =IFERROR(INDEX(C2:C9,MATCH(F2,A2:A9,0)),"Not found")</t>
        </is>
      </c>
    </row>
    <row r="5">
      <c r="A5" s="4" t="inlineStr">
        <is>
          <t>P-1043</t>
        </is>
      </c>
      <c r="B5" s="4" t="inlineStr">
        <is>
          <t>Gear housing</t>
        </is>
      </c>
      <c r="C5" s="20" t="n">
        <v>12.6</v>
      </c>
      <c r="D5" s="4" t="inlineStr">
        <is>
          <t>Machining</t>
        </is>
      </c>
    </row>
    <row r="6">
      <c r="A6" s="4" t="inlineStr">
        <is>
          <t>P-1058</t>
        </is>
      </c>
      <c r="B6" s="4" t="inlineStr">
        <is>
          <t>Drive shaft</t>
        </is>
      </c>
      <c r="C6" s="20" t="n">
        <v>9.800000000000001</v>
      </c>
      <c r="D6" s="4" t="inlineStr">
        <is>
          <t>Lathe</t>
        </is>
      </c>
      <c r="I6" s="14" t="inlineStr">
        <is>
          <t>YOUR TURN  (yellow cells are yours)</t>
        </is>
      </c>
      <c r="Q6" s="19" t="inlineStr">
        <is>
          <t>Hint: Three parts: what to find (F2), where to look (A2:A9), what to return (C2:C9).</t>
        </is>
      </c>
    </row>
    <row r="7">
      <c r="A7" s="4" t="inlineStr">
        <is>
          <t>P-1066</t>
        </is>
      </c>
      <c r="B7" s="4" t="inlineStr">
        <is>
          <t>Hinge pin</t>
        </is>
      </c>
      <c r="C7" s="20" t="n">
        <v>2.4</v>
      </c>
      <c r="D7" s="4" t="inlineStr">
        <is>
          <t>Lathe</t>
        </is>
      </c>
      <c r="I7" s="4" t="inlineStr">
        <is>
          <t>Part P-1058 is in F2. Use XLOOKUP in G2 to return its Std Time (min) from column C.</t>
        </is>
      </c>
    </row>
    <row r="8">
      <c r="A8" s="4" t="inlineStr">
        <is>
          <t>P-1079</t>
        </is>
      </c>
      <c r="B8" s="4" t="inlineStr">
        <is>
          <t>Frame rail</t>
        </is>
      </c>
      <c r="C8" s="20" t="n">
        <v>14.2</v>
      </c>
      <c r="D8" s="4" t="inlineStr">
        <is>
          <t>Welding</t>
        </is>
      </c>
    </row>
    <row r="9">
      <c r="A9" s="4" t="inlineStr">
        <is>
          <t>P-1085</t>
        </is>
      </c>
      <c r="B9" s="4" t="inlineStr">
        <is>
          <t>Pump cover</t>
        </is>
      </c>
      <c r="C9" s="20" t="n">
        <v>5.7</v>
      </c>
      <c r="D9" s="4" t="inlineStr">
        <is>
          <t>Assembly</t>
        </is>
      </c>
      <c r="I9" s="5" t="inlineStr">
        <is>
          <t>Check:</t>
        </is>
      </c>
      <c r="J9" s="15">
        <f>IF(ISBLANK(G2),"",IF(ISERROR(G2),"✗ Your formula returns an error",IF(ABS(G2-$R$3)&lt;0.000001,"✓ Correct!","✗ Not yet: check the ranges and criteria")))</f>
        <v/>
      </c>
    </row>
    <row r="10">
      <c r="I10" s="10" t="inlineStr">
        <is>
          <t>Stuck? The answer is in hidden columns Q–W: click the [+] in the bar above the column letters.</t>
        </is>
      </c>
    </row>
    <row r="11"/>
    <row r="12">
      <c r="I12" s="9">
        <f>HYPERLINK("#'Start here'!A1","← Back to Start here")</f>
        <v/>
      </c>
    </row>
    <row r="13">
      <c r="I13" s="9">
        <f>HYPERLINK("https://inchliit.github.io/excel-to-excel/","Open the webinar deck")</f>
        <v/>
      </c>
    </row>
  </sheetData>
  <conditionalFormatting sqref="J9">
    <cfRule type="expression" priority="1" dxfId="0">
      <formula>LEFT(J9,1)="✓"</formula>
    </cfRule>
    <cfRule type="expression" priority="2" dxfId="1">
      <formula>LEFT(J9,1)="✗"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zoomScale="11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hidden="1" outlineLevel="1" width="13" customWidth="1" min="14" max="20"/>
  </cols>
  <sheetData>
    <row r="1">
      <c r="A1" s="8" t="inlineStr">
        <is>
          <t>SKU</t>
        </is>
      </c>
      <c r="B1" s="8" t="inlineStr">
        <is>
          <t>Usage value</t>
        </is>
      </c>
      <c r="C1" s="8" t="inlineStr">
        <is>
          <t>Cum %</t>
        </is>
      </c>
      <c r="D1" s="8" t="inlineStr">
        <is>
          <t>Class</t>
        </is>
      </c>
      <c r="F1" s="11" t="inlineStr">
        <is>
          <t>10 · IFS for ABC classes</t>
        </is>
      </c>
      <c r="N1" s="12" t="inlineStr">
        <is>
          <t>ANSWER</t>
        </is>
      </c>
    </row>
    <row r="2">
      <c r="A2" s="4" t="inlineStr">
        <is>
          <t>SKU-118</t>
        </is>
      </c>
      <c r="B2" s="22" t="n">
        <v>252300</v>
      </c>
      <c r="C2" s="23" t="n">
        <v>0.42</v>
      </c>
      <c r="D2" s="13" t="n"/>
      <c r="F2" s="10" t="inlineStr">
        <is>
          <t>Works in Excel 2019, 2021 and Microsoft 365</t>
        </is>
      </c>
      <c r="N2" s="5" t="inlineStr">
        <is>
          <t>=IFS(C2&lt;=0.8,"A",C2&lt;=0.95,"B",TRUE,"C")</t>
        </is>
      </c>
    </row>
    <row r="3">
      <c r="A3" s="4" t="inlineStr">
        <is>
          <t>SKU-104</t>
        </is>
      </c>
      <c r="B3" s="22" t="n">
        <v>125900</v>
      </c>
      <c r="C3" s="23" t="n">
        <v>0.63</v>
      </c>
      <c r="D3" s="13" t="n"/>
      <c r="F3" s="5" t="inlineStr">
        <is>
          <t>ABC inventory without nested-IF pain</t>
        </is>
      </c>
      <c r="N3" s="4" t="inlineStr">
        <is>
          <t>Expected</t>
        </is>
      </c>
    </row>
    <row r="4">
      <c r="A4" s="4" t="inlineStr">
        <is>
          <t>SKU-131</t>
        </is>
      </c>
      <c r="B4" s="22" t="n">
        <v>84100</v>
      </c>
      <c r="C4" s="23" t="n">
        <v>0.77</v>
      </c>
      <c r="D4" s="13" t="n"/>
      <c r="F4" s="21" t="inlineStr">
        <is>
          <t>Older Excel: nested IF, =IF(C2&lt;=0.8,"A",IF(C2&lt;=0.95,"B","C"))</t>
        </is>
      </c>
      <c r="O4" s="4" t="inlineStr">
        <is>
          <t>A</t>
        </is>
      </c>
    </row>
    <row r="5">
      <c r="A5" s="4" t="inlineStr">
        <is>
          <t>SKU-122</t>
        </is>
      </c>
      <c r="B5" s="22" t="n">
        <v>47600</v>
      </c>
      <c r="C5" s="23" t="n">
        <v>0.85</v>
      </c>
      <c r="D5" s="13" t="n"/>
      <c r="O5" s="4" t="inlineStr">
        <is>
          <t>A</t>
        </is>
      </c>
    </row>
    <row r="6">
      <c r="A6" s="4" t="inlineStr">
        <is>
          <t>SKU-109</t>
        </is>
      </c>
      <c r="B6" s="22" t="n">
        <v>30200</v>
      </c>
      <c r="C6" s="23" t="n">
        <v>0.9</v>
      </c>
      <c r="D6" s="13" t="n"/>
      <c r="F6" s="14" t="inlineStr">
        <is>
          <t>YOUR TURN  (yellow cells are yours)</t>
        </is>
      </c>
      <c r="O6" s="4" t="inlineStr">
        <is>
          <t>A</t>
        </is>
      </c>
    </row>
    <row r="7">
      <c r="A7" s="4" t="inlineStr">
        <is>
          <t>SKU-140</t>
        </is>
      </c>
      <c r="B7" s="22" t="n">
        <v>23800</v>
      </c>
      <c r="C7" s="23" t="n">
        <v>0.9399999999999999</v>
      </c>
      <c r="D7" s="13" t="n"/>
      <c r="F7" s="4" t="inlineStr">
        <is>
          <t>Class each SKU in D2: "A" if Cum % ≤ 0.8, "B" if ≤ 0.95, otherwise "C". Your formula is</t>
        </is>
      </c>
      <c r="O7" s="4" t="inlineStr">
        <is>
          <t>B</t>
        </is>
      </c>
    </row>
    <row r="8">
      <c r="A8" s="4" t="inlineStr">
        <is>
          <t>SKU-127</t>
        </is>
      </c>
      <c r="B8" s="22" t="n">
        <v>12400</v>
      </c>
      <c r="C8" s="23" t="n">
        <v>0.96</v>
      </c>
      <c r="D8" s="13" t="n"/>
      <c r="F8" s="4" t="inlineStr">
        <is>
          <t xml:space="preserve">    filled down to D11.</t>
        </is>
      </c>
      <c r="O8" s="4" t="inlineStr">
        <is>
          <t>B</t>
        </is>
      </c>
    </row>
    <row r="9">
      <c r="A9" s="4" t="inlineStr">
        <is>
          <t>SKU-113</t>
        </is>
      </c>
      <c r="B9" s="22" t="n">
        <v>11700</v>
      </c>
      <c r="C9" s="23" t="n">
        <v>0.98</v>
      </c>
      <c r="D9" s="13" t="n"/>
      <c r="O9" s="4" t="inlineStr">
        <is>
          <t>B</t>
        </is>
      </c>
    </row>
    <row r="10">
      <c r="A10" s="4" t="inlineStr">
        <is>
          <t>SKU-136</t>
        </is>
      </c>
      <c r="B10" s="22" t="n">
        <v>6300</v>
      </c>
      <c r="C10" s="23" t="n">
        <v>0.99</v>
      </c>
      <c r="D10" s="13" t="n"/>
      <c r="F10" s="5" t="inlineStr">
        <is>
          <t>Check:</t>
        </is>
      </c>
      <c r="G10" s="15">
        <f>IF(COUNTBLANK(D2:D11)=10,"",IF(SUMPRODUCT(--ISERROR(D2:D11))&gt;0,"✗ Some cells show an error",IF(SUMPRODUCT(--EXACT(D2:D11,$O$4:$O$13))=10,"✓ Correct!","✗ Not yet: compare with the task")))</f>
        <v/>
      </c>
      <c r="O10" s="4" t="inlineStr">
        <is>
          <t>C</t>
        </is>
      </c>
    </row>
    <row r="11">
      <c r="A11" s="4" t="inlineStr">
        <is>
          <t>SKU-101</t>
        </is>
      </c>
      <c r="B11" s="22" t="n">
        <v>5700</v>
      </c>
      <c r="C11" s="23" t="n">
        <v>1</v>
      </c>
      <c r="D11" s="13" t="n"/>
      <c r="F11" s="10" t="inlineStr">
        <is>
          <t>Stuck? The answer is in hidden columns N–T: click the [+] in the bar above the column letters.</t>
        </is>
      </c>
      <c r="O11" s="4" t="inlineStr">
        <is>
          <t>C</t>
        </is>
      </c>
    </row>
    <row r="12">
      <c r="O12" s="4" t="inlineStr">
        <is>
          <t>C</t>
        </is>
      </c>
    </row>
    <row r="13">
      <c r="F13" s="9">
        <f>HYPERLINK("#'Start here'!A1","← Back to Start here")</f>
        <v/>
      </c>
      <c r="O13" s="4" t="inlineStr">
        <is>
          <t>C</t>
        </is>
      </c>
    </row>
    <row r="14">
      <c r="F14" s="9">
        <f>HYPERLINK("https://inchliit.github.io/excel-to-excel/","Open the webinar deck")</f>
        <v/>
      </c>
    </row>
    <row r="15"/>
    <row r="16">
      <c r="N16" s="19" t="inlineStr">
        <is>
          <t>Hint: Pairs of test, result… end with TRUE,"C"</t>
        </is>
      </c>
    </row>
  </sheetData>
  <conditionalFormatting sqref="G10">
    <cfRule type="expression" priority="1" dxfId="0">
      <formula>LEFT(G10,1)="✓"</formula>
    </cfRule>
    <cfRule type="expression" priority="2" dxfId="1">
      <formula>LEFT(G10,1)="✗"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4"/>
  <sheetViews>
    <sheetView zoomScale="11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hidden="1" outlineLevel="1" width="13" customWidth="1" min="23" max="29"/>
  </cols>
  <sheetData>
    <row r="1">
      <c r="A1" s="8" t="inlineStr">
        <is>
          <t>Machine</t>
        </is>
      </c>
      <c r="B1" s="8" t="inlineStr">
        <is>
          <t>Line</t>
        </is>
      </c>
      <c r="C1" s="8" t="inlineStr">
        <is>
          <t>Avail</t>
        </is>
      </c>
      <c r="D1" s="8" t="inlineStr">
        <is>
          <t>Perf</t>
        </is>
      </c>
      <c r="E1" s="8" t="inlineStr">
        <is>
          <t>Quality</t>
        </is>
      </c>
      <c r="F1" s="8" t="inlineStr">
        <is>
          <t>OEE</t>
        </is>
      </c>
      <c r="H1" s="8" t="inlineStr">
        <is>
          <t>Machine</t>
        </is>
      </c>
      <c r="I1" s="8" t="inlineStr">
        <is>
          <t>Line</t>
        </is>
      </c>
      <c r="J1" s="8" t="inlineStr">
        <is>
          <t>Avail</t>
        </is>
      </c>
      <c r="K1" s="8" t="inlineStr">
        <is>
          <t>Perf</t>
        </is>
      </c>
      <c r="L1" s="8" t="inlineStr">
        <is>
          <t>Quality</t>
        </is>
      </c>
      <c r="M1" s="8" t="inlineStr">
        <is>
          <t>OEE</t>
        </is>
      </c>
      <c r="O1" s="11" t="inlineStr">
        <is>
          <t>11 · FILTER + SORT</t>
        </is>
      </c>
      <c r="W1" s="12" t="inlineStr">
        <is>
          <t>ANSWER</t>
        </is>
      </c>
    </row>
    <row r="2">
      <c r="A2" s="4" t="inlineStr">
        <is>
          <t>M-01</t>
        </is>
      </c>
      <c r="B2" s="4" t="inlineStr">
        <is>
          <t>L1</t>
        </is>
      </c>
      <c r="C2" s="23" t="n">
        <v>0.95</v>
      </c>
      <c r="D2" s="23" t="n">
        <v>0.93</v>
      </c>
      <c r="E2" s="23" t="n">
        <v>0.99</v>
      </c>
      <c r="F2" s="24" t="n">
        <v>0.875</v>
      </c>
      <c r="H2" s="13" t="n"/>
      <c r="I2" s="25" t="n"/>
      <c r="J2" s="25" t="n"/>
      <c r="K2" s="25" t="n"/>
      <c r="L2" s="25" t="n"/>
      <c r="M2" s="25" t="n"/>
      <c r="O2" s="10" t="inlineStr">
        <is>
          <t>Needs Microsoft 365 or Excel 2021 (older Excel shows #NAME?)</t>
        </is>
      </c>
      <c r="W2" s="5" t="inlineStr">
        <is>
          <t>=SORT(FILTER(A2:F11,F2:F11&lt;0.85),6,1)</t>
        </is>
      </c>
    </row>
    <row r="3">
      <c r="A3" s="4" t="inlineStr">
        <is>
          <t>M-02</t>
        </is>
      </c>
      <c r="B3" s="4" t="inlineStr">
        <is>
          <t>L1</t>
        </is>
      </c>
      <c r="C3" s="23" t="n">
        <v>0.88</v>
      </c>
      <c r="D3" s="23" t="n">
        <v>0.9</v>
      </c>
      <c r="E3" s="23" t="n">
        <v>0.98</v>
      </c>
      <c r="F3" s="24" t="n">
        <v>0.776</v>
      </c>
      <c r="H3" s="25" t="n"/>
      <c r="I3" s="25" t="n"/>
      <c r="J3" s="25" t="n"/>
      <c r="K3" s="25" t="n"/>
      <c r="L3" s="25" t="n"/>
      <c r="M3" s="25" t="n"/>
      <c r="O3" s="5" t="inlineStr">
        <is>
          <t>A live 'worst machines' list</t>
        </is>
      </c>
      <c r="W3" s="4" t="inlineStr">
        <is>
          <t>Expected</t>
        </is>
      </c>
    </row>
    <row r="4">
      <c r="A4" s="4" t="inlineStr">
        <is>
          <t>M-03</t>
        </is>
      </c>
      <c r="B4" s="4" t="inlineStr">
        <is>
          <t>L1</t>
        </is>
      </c>
      <c r="C4" s="23" t="n">
        <v>0.97</v>
      </c>
      <c r="D4" s="23" t="n">
        <v>0.9399999999999999</v>
      </c>
      <c r="E4" s="23" t="n">
        <v>0.99</v>
      </c>
      <c r="F4" s="24" t="n">
        <v>0.903</v>
      </c>
      <c r="H4" s="25" t="n"/>
      <c r="I4" s="25" t="n"/>
      <c r="J4" s="25" t="n"/>
      <c r="K4" s="25" t="n"/>
      <c r="L4" s="25" t="n"/>
      <c r="M4" s="25" t="n"/>
      <c r="O4" s="21" t="inlineStr">
        <is>
          <t>Older Excel: AutoFilter (Ctrl+Shift+L) + Sort, by hand each time</t>
        </is>
      </c>
      <c r="X4" s="4" t="inlineStr">
        <is>
          <t>M-04</t>
        </is>
      </c>
      <c r="Y4" s="4" t="inlineStr">
        <is>
          <t>L2</t>
        </is>
      </c>
      <c r="Z4" s="4" t="n">
        <v>0.91</v>
      </c>
      <c r="AA4" s="4" t="n">
        <v>0.86</v>
      </c>
      <c r="AB4" s="4" t="n">
        <v>0.97</v>
      </c>
      <c r="AC4" s="4" t="n">
        <v>0.759</v>
      </c>
    </row>
    <row r="5">
      <c r="A5" s="4" t="inlineStr">
        <is>
          <t>M-04</t>
        </is>
      </c>
      <c r="B5" s="4" t="inlineStr">
        <is>
          <t>L2</t>
        </is>
      </c>
      <c r="C5" s="23" t="n">
        <v>0.91</v>
      </c>
      <c r="D5" s="23" t="n">
        <v>0.86</v>
      </c>
      <c r="E5" s="23" t="n">
        <v>0.97</v>
      </c>
      <c r="F5" s="24" t="n">
        <v>0.759</v>
      </c>
      <c r="H5" s="25" t="n"/>
      <c r="I5" s="25" t="n"/>
      <c r="J5" s="25" t="n"/>
      <c r="K5" s="25" t="n"/>
      <c r="L5" s="25" t="n"/>
      <c r="M5" s="25" t="n"/>
      <c r="X5" s="4" t="inlineStr">
        <is>
          <t>M-02</t>
        </is>
      </c>
      <c r="Y5" s="4" t="inlineStr">
        <is>
          <t>L1</t>
        </is>
      </c>
      <c r="Z5" s="4" t="n">
        <v>0.88</v>
      </c>
      <c r="AA5" s="4" t="n">
        <v>0.9</v>
      </c>
      <c r="AB5" s="4" t="n">
        <v>0.98</v>
      </c>
      <c r="AC5" s="4" t="n">
        <v>0.776</v>
      </c>
    </row>
    <row r="6">
      <c r="A6" s="4" t="inlineStr">
        <is>
          <t>M-05</t>
        </is>
      </c>
      <c r="B6" s="4" t="inlineStr">
        <is>
          <t>L2</t>
        </is>
      </c>
      <c r="C6" s="23" t="n">
        <v>0.96</v>
      </c>
      <c r="D6" s="23" t="n">
        <v>0.95</v>
      </c>
      <c r="E6" s="23" t="n">
        <v>0.97</v>
      </c>
      <c r="F6" s="24" t="n">
        <v>0.885</v>
      </c>
      <c r="O6" s="14" t="inlineStr">
        <is>
          <t>YOUR TURN  (yellow cells are yours)</t>
        </is>
      </c>
      <c r="X6" s="4" t="inlineStr">
        <is>
          <t>M-09</t>
        </is>
      </c>
      <c r="Y6" s="4" t="inlineStr">
        <is>
          <t>L3</t>
        </is>
      </c>
      <c r="Z6" s="4" t="n">
        <v>0.9</v>
      </c>
      <c r="AA6" s="4" t="n">
        <v>0.92</v>
      </c>
      <c r="AB6" s="4" t="n">
        <v>0.98</v>
      </c>
      <c r="AC6" s="4" t="n">
        <v>0.8110000000000001</v>
      </c>
    </row>
    <row r="7">
      <c r="A7" s="4" t="inlineStr">
        <is>
          <t>M-06</t>
        </is>
      </c>
      <c r="B7" s="4" t="inlineStr">
        <is>
          <t>L2</t>
        </is>
      </c>
      <c r="C7" s="23" t="n">
        <v>0.93</v>
      </c>
      <c r="D7" s="23" t="n">
        <v>0.92</v>
      </c>
      <c r="E7" s="23" t="n">
        <v>0.97</v>
      </c>
      <c r="F7" s="24" t="n">
        <v>0.83</v>
      </c>
      <c r="O7" s="4" t="inlineStr">
        <is>
          <t>List the machines with OEE below 0.85, worst first: one formula in H2 that spills all 6</t>
        </is>
      </c>
      <c r="X7" s="4" t="inlineStr">
        <is>
          <t>M-06</t>
        </is>
      </c>
      <c r="Y7" s="4" t="inlineStr">
        <is>
          <t>L2</t>
        </is>
      </c>
      <c r="Z7" s="4" t="n">
        <v>0.93</v>
      </c>
      <c r="AA7" s="4" t="n">
        <v>0.92</v>
      </c>
      <c r="AB7" s="4" t="n">
        <v>0.97</v>
      </c>
      <c r="AC7" s="4" t="n">
        <v>0.83</v>
      </c>
    </row>
    <row r="8">
      <c r="A8" s="4" t="inlineStr">
        <is>
          <t>M-07</t>
        </is>
      </c>
      <c r="B8" s="4" t="inlineStr">
        <is>
          <t>L2</t>
        </is>
      </c>
      <c r="C8" s="23" t="n">
        <v>0.95</v>
      </c>
      <c r="D8" s="23" t="n">
        <v>0.95</v>
      </c>
      <c r="E8" s="23" t="n">
        <v>0.99</v>
      </c>
      <c r="F8" s="24" t="n">
        <v>0.893</v>
      </c>
      <c r="O8" s="4" t="inlineStr">
        <is>
          <t xml:space="preserve">    columns.</t>
        </is>
      </c>
    </row>
    <row r="9">
      <c r="A9" s="4" t="inlineStr">
        <is>
          <t>M-08</t>
        </is>
      </c>
      <c r="B9" s="4" t="inlineStr">
        <is>
          <t>L3</t>
        </is>
      </c>
      <c r="C9" s="23" t="n">
        <v>0.99</v>
      </c>
      <c r="D9" s="23" t="n">
        <v>0.95</v>
      </c>
      <c r="E9" s="23" t="n">
        <v>0.98</v>
      </c>
      <c r="F9" s="24" t="n">
        <v>0.922</v>
      </c>
    </row>
    <row r="10">
      <c r="A10" s="4" t="inlineStr">
        <is>
          <t>M-09</t>
        </is>
      </c>
      <c r="B10" s="4" t="inlineStr">
        <is>
          <t>L3</t>
        </is>
      </c>
      <c r="C10" s="23" t="n">
        <v>0.9</v>
      </c>
      <c r="D10" s="23" t="n">
        <v>0.92</v>
      </c>
      <c r="E10" s="23" t="n">
        <v>0.98</v>
      </c>
      <c r="F10" s="24" t="n">
        <v>0.8110000000000001</v>
      </c>
      <c r="O10" s="5" t="inlineStr">
        <is>
          <t>Check:</t>
        </is>
      </c>
      <c r="P10" s="15">
        <f>IF(COUNTBLANK(H2:M5)=24,"",IF(SUMPRODUCT(--ISERROR(H2:M5))&gt;0,"✗ Some cells show an error",IF(SUMPRODUCT(--EXACT(H2:M5,$X$4:$AC$7))=24,"✓ Correct!","✗ Not yet: compare with the task")))</f>
        <v/>
      </c>
      <c r="W10" s="19" t="inlineStr">
        <is>
          <t>Hint: Put FILTER inside SORT: SORT(FILTER(rows, OEE&lt;0.85), 6, 1). 6 = the OEE column, 1 = ascending.</t>
        </is>
      </c>
    </row>
    <row r="11">
      <c r="A11" s="4" t="inlineStr">
        <is>
          <t>M-10</t>
        </is>
      </c>
      <c r="B11" s="4" t="inlineStr">
        <is>
          <t>L3</t>
        </is>
      </c>
      <c r="C11" s="23" t="n">
        <v>0.98</v>
      </c>
      <c r="D11" s="23" t="n">
        <v>0.91</v>
      </c>
      <c r="E11" s="23" t="n">
        <v>0.99</v>
      </c>
      <c r="F11" s="24" t="n">
        <v>0.883</v>
      </c>
      <c r="O11" s="10" t="inlineStr">
        <is>
          <t>Stuck? The answer is in hidden columns W–AC: click the [+] in the bar above the column letters.</t>
        </is>
      </c>
    </row>
    <row r="12"/>
    <row r="13">
      <c r="O13" s="9">
        <f>HYPERLINK("#'Start here'!A1","← Back to Start here")</f>
        <v/>
      </c>
    </row>
    <row r="14">
      <c r="O14" s="9">
        <f>HYPERLINK("https://inchliit.github.io/excel-to-excel/","Open the webinar deck")</f>
        <v/>
      </c>
    </row>
  </sheetData>
  <conditionalFormatting sqref="P10">
    <cfRule type="expression" priority="1" dxfId="0">
      <formula>LEFT(P10,1)="✓"</formula>
    </cfRule>
    <cfRule type="expression" priority="2" dxfId="1">
      <formula>LEFT(P10,1)="✗"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11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hidden="1" outlineLevel="1" width="13" customWidth="1" min="18" max="24"/>
  </cols>
  <sheetData>
    <row r="1">
      <c r="A1" s="8" t="inlineStr">
        <is>
          <t>Sample</t>
        </is>
      </c>
      <c r="B1" s="8" t="inlineStr">
        <is>
          <t>Mean (mm)</t>
        </is>
      </c>
      <c r="E1" s="8" t="inlineStr">
        <is>
          <t>Limit</t>
        </is>
      </c>
      <c r="F1" s="8" t="inlineStr">
        <is>
          <t>Value</t>
        </is>
      </c>
      <c r="H1" s="8" t="inlineStr">
        <is>
          <t>Out?</t>
        </is>
      </c>
      <c r="J1" s="11" t="inlineStr">
        <is>
          <t>12 · Conditional formatting with a formula</t>
        </is>
      </c>
      <c r="R1" s="12" t="inlineStr">
        <is>
          <t>ANSWER</t>
        </is>
      </c>
    </row>
    <row r="2">
      <c r="A2" s="4" t="n">
        <v>1</v>
      </c>
      <c r="B2" s="26" t="n">
        <v>25.012</v>
      </c>
      <c r="E2" s="4" t="inlineStr">
        <is>
          <t>UCL</t>
        </is>
      </c>
      <c r="F2" s="18" t="n">
        <v>25.06</v>
      </c>
      <c r="H2" s="13" t="n"/>
      <c r="J2" s="10" t="inlineStr">
        <is>
          <t>Works in Excel 2013 and newer</t>
        </is>
      </c>
      <c r="R2" s="5" t="inlineStr">
        <is>
          <t>=OR($B2&gt;$F$2,$B2&lt;$F$3)</t>
        </is>
      </c>
    </row>
    <row r="3">
      <c r="A3" s="4" t="n">
        <v>2</v>
      </c>
      <c r="B3" s="26" t="n">
        <v>24.987</v>
      </c>
      <c r="E3" s="4" t="inlineStr">
        <is>
          <t>LCL</t>
        </is>
      </c>
      <c r="F3" s="18" t="n">
        <v>24.94</v>
      </c>
      <c r="H3" s="13" t="n"/>
      <c r="J3" s="5" t="inlineStr">
        <is>
          <t>SPC alarms that light themselves</t>
        </is>
      </c>
      <c r="R3" s="4" t="inlineStr">
        <is>
          <t>Expected</t>
        </is>
      </c>
    </row>
    <row r="4">
      <c r="A4" s="4" t="n">
        <v>3</v>
      </c>
      <c r="B4" s="26" t="n">
        <v>25.021</v>
      </c>
      <c r="H4" s="13" t="n"/>
      <c r="S4" s="4" t="b">
        <v>0</v>
      </c>
    </row>
    <row r="5">
      <c r="A5" s="4" t="n">
        <v>4</v>
      </c>
      <c r="B5" s="26" t="n">
        <v>25.004</v>
      </c>
      <c r="H5" s="13" t="n"/>
      <c r="J5" s="14" t="inlineStr">
        <is>
          <t>YOUR TURN  (yellow cells are yours)</t>
        </is>
      </c>
      <c r="S5" s="4" t="b">
        <v>0</v>
      </c>
    </row>
    <row r="6">
      <c r="A6" s="4" t="n">
        <v>5</v>
      </c>
      <c r="B6" s="26" t="n">
        <v>24.978</v>
      </c>
      <c r="H6" s="13" t="n"/>
      <c r="J6" s="4" t="inlineStr">
        <is>
          <t>In H2, write a rule that is TRUE when the mean in B2 is above the UCL (F2) or below the LCL</t>
        </is>
      </c>
      <c r="S6" s="4" t="b">
        <v>0</v>
      </c>
    </row>
    <row r="7">
      <c r="A7" s="4" t="n">
        <v>6</v>
      </c>
      <c r="B7" s="26" t="n">
        <v>25.033</v>
      </c>
      <c r="H7" s="13" t="n"/>
      <c r="J7" s="4" t="inlineStr">
        <is>
          <t xml:space="preserve">    (F3). It is copied down to H21, and rows where it is TRUE light up red.</t>
        </is>
      </c>
      <c r="S7" s="4" t="b">
        <v>0</v>
      </c>
    </row>
    <row r="8">
      <c r="A8" s="4" t="n">
        <v>7</v>
      </c>
      <c r="B8" s="26" t="n">
        <v>25.08</v>
      </c>
      <c r="H8" s="13" t="n"/>
      <c r="J8" s="4" t="inlineStr">
        <is>
          <t>Then make it visual: select A2:B21 › Home › Conditional Formatting › New Rule ›</t>
        </is>
      </c>
      <c r="S8" s="4" t="b">
        <v>0</v>
      </c>
    </row>
    <row r="9">
      <c r="A9" s="4" t="n">
        <v>8</v>
      </c>
      <c r="B9" s="26" t="n">
        <v>25.009</v>
      </c>
      <c r="H9" s="13" t="n"/>
      <c r="J9" s="4" t="inlineStr">
        <is>
          <t>"Use a formula to determine which cells to format" › =OR($B2&gt;$F$2,$B2&lt;$F$3) › Format… › red</t>
        </is>
      </c>
      <c r="S9" s="4" t="b">
        <v>0</v>
      </c>
    </row>
    <row r="10">
      <c r="A10" s="4" t="n">
        <v>9</v>
      </c>
      <c r="B10" s="26" t="n">
        <v>24.991</v>
      </c>
      <c r="H10" s="13" t="n"/>
      <c r="J10" s="4" t="inlineStr">
        <is>
          <t xml:space="preserve">    fill › OK.</t>
        </is>
      </c>
      <c r="S10" s="4" t="b">
        <v>1</v>
      </c>
    </row>
    <row r="11">
      <c r="A11" s="4" t="n">
        <v>10</v>
      </c>
      <c r="B11" s="26" t="n">
        <v>25.018</v>
      </c>
      <c r="H11" s="13" t="n"/>
      <c r="J11" s="4" t="inlineStr">
        <is>
          <t>Change F2 (UCL) to 25.05 and watch one more row light up.</t>
        </is>
      </c>
      <c r="S11" s="4" t="b">
        <v>0</v>
      </c>
    </row>
    <row r="12">
      <c r="A12" s="4" t="n">
        <v>11</v>
      </c>
      <c r="B12" s="26" t="n">
        <v>24.966</v>
      </c>
      <c r="H12" s="13" t="n"/>
      <c r="S12" s="4" t="b">
        <v>0</v>
      </c>
    </row>
    <row r="13">
      <c r="A13" s="4" t="n">
        <v>12</v>
      </c>
      <c r="B13" s="26" t="n">
        <v>25.027</v>
      </c>
      <c r="H13" s="13" t="n"/>
      <c r="J13" s="5" t="inlineStr">
        <is>
          <t>Check:</t>
        </is>
      </c>
      <c r="K13" s="15">
        <f>IF(COUNTBLANK(H2:H21)=20,"",IF(SUMPRODUCT(--ISERROR(H2:H21))&gt;0,"✗ Some cells show an error",IF(SUMPRODUCT(--(H2:H21=$S$4:$S$23))=20,"✓ Correct!","✗ Not yet: compare with the task")))</f>
        <v/>
      </c>
      <c r="S13" s="4" t="b">
        <v>0</v>
      </c>
    </row>
    <row r="14">
      <c r="A14" s="4" t="n">
        <v>13</v>
      </c>
      <c r="B14" s="26" t="n">
        <v>25.002</v>
      </c>
      <c r="H14" s="13" t="n"/>
      <c r="J14" s="10" t="inlineStr">
        <is>
          <t>Stuck? The answer is in hidden columns R–X: click the [+] in the bar above the column letters.</t>
        </is>
      </c>
      <c r="S14" s="4" t="b">
        <v>0</v>
      </c>
    </row>
    <row r="15">
      <c r="A15" s="4" t="n">
        <v>14</v>
      </c>
      <c r="B15" s="26" t="n">
        <v>24.983</v>
      </c>
      <c r="H15" s="13" t="n"/>
      <c r="S15" s="4" t="b">
        <v>0</v>
      </c>
    </row>
    <row r="16">
      <c r="A16" s="4" t="n">
        <v>15</v>
      </c>
      <c r="B16" s="26" t="n">
        <v>24.92</v>
      </c>
      <c r="H16" s="13" t="n"/>
      <c r="J16" s="9">
        <f>HYPERLINK("#'Start here'!A1","← Back to Start here")</f>
        <v/>
      </c>
      <c r="S16" s="4" t="b">
        <v>0</v>
      </c>
    </row>
    <row r="17">
      <c r="A17" s="4" t="n">
        <v>16</v>
      </c>
      <c r="B17" s="26" t="n">
        <v>24.995</v>
      </c>
      <c r="H17" s="13" t="n"/>
      <c r="J17" s="9">
        <f>HYPERLINK("https://inchliit.github.io/excel-to-excel/","Open the webinar deck")</f>
        <v/>
      </c>
      <c r="S17" s="4" t="b">
        <v>0</v>
      </c>
    </row>
    <row r="18">
      <c r="A18" s="4" t="n">
        <v>17</v>
      </c>
      <c r="B18" s="26" t="n">
        <v>25.024</v>
      </c>
      <c r="H18" s="13" t="n"/>
      <c r="S18" s="4" t="b">
        <v>1</v>
      </c>
    </row>
    <row r="19">
      <c r="A19" s="4" t="n">
        <v>18</v>
      </c>
      <c r="B19" s="26" t="n">
        <v>25.055</v>
      </c>
      <c r="H19" s="13" t="n"/>
      <c r="S19" s="4" t="b">
        <v>0</v>
      </c>
    </row>
    <row r="20">
      <c r="A20" s="4" t="n">
        <v>19</v>
      </c>
      <c r="B20" s="26" t="n">
        <v>25.011</v>
      </c>
      <c r="H20" s="13" t="n"/>
      <c r="S20" s="4" t="b">
        <v>0</v>
      </c>
    </row>
    <row r="21">
      <c r="A21" s="4" t="n">
        <v>20</v>
      </c>
      <c r="B21" s="26" t="n">
        <v>24.989</v>
      </c>
      <c r="H21" s="13" t="n"/>
      <c r="S21" s="4" t="b">
        <v>0</v>
      </c>
    </row>
    <row r="22">
      <c r="S22" s="4" t="b">
        <v>0</v>
      </c>
    </row>
    <row r="23">
      <c r="S23" s="4" t="b">
        <v>0</v>
      </c>
    </row>
    <row r="24"/>
    <row r="25"/>
    <row r="26">
      <c r="R26" s="19" t="inlineStr">
        <is>
          <t>Hint: Use OR(test1, test2). $B2 keeps column B but lets the row move; $F$2 and $F$3 never move.</t>
        </is>
      </c>
    </row>
  </sheetData>
  <conditionalFormatting sqref="K13">
    <cfRule type="expression" priority="1" dxfId="0">
      <formula>LEFT(K13,1)="✓"</formula>
    </cfRule>
    <cfRule type="expression" priority="2" dxfId="1">
      <formula>LEFT(K13,1)="✗"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7"/>
  <sheetViews>
    <sheetView zoomScale="11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21.7" customWidth="1" min="9" max="9"/>
    <col hidden="1" outlineLevel="1" width="13" customWidth="1" min="19" max="25"/>
  </cols>
  <sheetData>
    <row r="1">
      <c r="A1" s="8" t="inlineStr">
        <is>
          <t>Line</t>
        </is>
      </c>
      <c r="B1" s="8" t="inlineStr">
        <is>
          <t>Mon</t>
        </is>
      </c>
      <c r="C1" s="8" t="inlineStr">
        <is>
          <t>Tue</t>
        </is>
      </c>
      <c r="D1" s="8" t="inlineStr">
        <is>
          <t>Wed</t>
        </is>
      </c>
      <c r="E1" s="8" t="inlineStr">
        <is>
          <t>Thu</t>
        </is>
      </c>
      <c r="F1" s="8" t="inlineStr">
        <is>
          <t>Fri</t>
        </is>
      </c>
      <c r="G1" s="8" t="inlineStr">
        <is>
          <t>Sat</t>
        </is>
      </c>
      <c r="H1" s="8" t="inlineStr">
        <is>
          <t>Sun</t>
        </is>
      </c>
      <c r="I1" s="8" t="inlineStr">
        <is>
          <t>Trend</t>
        </is>
      </c>
      <c r="K1" s="11" t="inlineStr">
        <is>
          <t>13 · Sparklines</t>
        </is>
      </c>
      <c r="S1" s="12" t="inlineStr">
        <is>
          <t>ANSWER</t>
        </is>
      </c>
    </row>
    <row r="2">
      <c r="A2" s="4" t="inlineStr">
        <is>
          <t>L1</t>
        </is>
      </c>
      <c r="B2" s="4" t="n">
        <v>452</v>
      </c>
      <c r="C2" s="4" t="n">
        <v>461</v>
      </c>
      <c r="D2" s="4" t="n">
        <v>448</v>
      </c>
      <c r="E2" s="4" t="n">
        <v>470</v>
      </c>
      <c r="F2" s="4" t="n">
        <v>457</v>
      </c>
      <c r="G2" s="4" t="n">
        <v>466</v>
      </c>
      <c r="H2" s="4" t="n">
        <v>459</v>
      </c>
      <c r="I2" s="13" t="n"/>
      <c r="K2" s="10" t="inlineStr">
        <is>
          <t>Works in Excel 2013 and newer</t>
        </is>
      </c>
      <c r="S2" s="4" t="inlineStr">
        <is>
          <t>One mini chart per line; L4 slopes down all week (468 → 386).</t>
        </is>
      </c>
    </row>
    <row r="3">
      <c r="A3" s="4" t="inlineStr">
        <is>
          <t>L2</t>
        </is>
      </c>
      <c r="B3" s="4" t="n">
        <v>438</v>
      </c>
      <c r="C3" s="4" t="n">
        <v>429</v>
      </c>
      <c r="D3" s="4" t="n">
        <v>445</v>
      </c>
      <c r="E3" s="4" t="n">
        <v>436</v>
      </c>
      <c r="F3" s="4" t="n">
        <v>450</v>
      </c>
      <c r="G3" s="4" t="n">
        <v>441</v>
      </c>
      <c r="H3" s="4" t="n">
        <v>447</v>
      </c>
      <c r="I3" s="13" t="n"/>
      <c r="K3" s="5" t="inlineStr">
        <is>
          <t>A chart in every cell</t>
        </is>
      </c>
    </row>
    <row r="4">
      <c r="A4" s="4" t="inlineStr">
        <is>
          <t>L3</t>
        </is>
      </c>
      <c r="B4" s="4" t="n">
        <v>405</v>
      </c>
      <c r="C4" s="4" t="n">
        <v>418</v>
      </c>
      <c r="D4" s="4" t="n">
        <v>412</v>
      </c>
      <c r="E4" s="4" t="n">
        <v>421</v>
      </c>
      <c r="F4" s="4" t="n">
        <v>409</v>
      </c>
      <c r="G4" s="4" t="n">
        <v>425</v>
      </c>
      <c r="H4" s="4" t="n">
        <v>431</v>
      </c>
      <c r="I4" s="13" t="n"/>
    </row>
    <row r="5">
      <c r="A5" s="4" t="inlineStr">
        <is>
          <t>L4</t>
        </is>
      </c>
      <c r="B5" s="4" t="n">
        <v>468</v>
      </c>
      <c r="C5" s="4" t="n">
        <v>455</v>
      </c>
      <c r="D5" s="4" t="n">
        <v>447</v>
      </c>
      <c r="E5" s="4" t="n">
        <v>430</v>
      </c>
      <c r="F5" s="4" t="n">
        <v>418</v>
      </c>
      <c r="G5" s="4" t="n">
        <v>401</v>
      </c>
      <c r="H5" s="4" t="n">
        <v>386</v>
      </c>
      <c r="I5" s="13" t="n"/>
      <c r="K5" s="14" t="inlineStr">
        <is>
          <t>YOUR TURN  (yellow cells are yours)</t>
        </is>
      </c>
    </row>
    <row r="6">
      <c r="A6" s="4" t="inlineStr">
        <is>
          <t>L5</t>
        </is>
      </c>
      <c r="B6" s="4" t="n">
        <v>476</v>
      </c>
      <c r="C6" s="4" t="n">
        <v>470</v>
      </c>
      <c r="D6" s="4" t="n">
        <v>482</v>
      </c>
      <c r="E6" s="4" t="n">
        <v>468</v>
      </c>
      <c r="F6" s="4" t="n">
        <v>479</v>
      </c>
      <c r="G6" s="4" t="n">
        <v>473</v>
      </c>
      <c r="H6" s="4" t="n">
        <v>485</v>
      </c>
      <c r="I6" s="13" t="n"/>
      <c r="K6" s="4" t="inlineStr">
        <is>
          <t>1. Select B2:H6.</t>
        </is>
      </c>
    </row>
    <row r="7">
      <c r="K7" s="4" t="inlineStr">
        <is>
          <t>2. Insert › Sparklines › Line.</t>
        </is>
      </c>
    </row>
    <row r="8">
      <c r="K8" s="4" t="inlineStr">
        <is>
          <t>3. Location Range: $I$2:$I$6 › OK.</t>
        </is>
      </c>
    </row>
    <row r="9">
      <c r="K9" s="4" t="inlineStr">
        <is>
          <t>4. Sparkline tab › Show: tick High Point and Low Point. Try Type › Column too.</t>
        </is>
      </c>
    </row>
    <row r="10"/>
    <row r="11">
      <c r="K11" s="5" t="inlineStr">
        <is>
          <t>What you should see:</t>
        </is>
      </c>
    </row>
    <row r="12">
      <c r="K12" s="4" t="inlineStr">
        <is>
          <t>One mini chart per line; L4 slopes down all week (468 → 386).</t>
        </is>
      </c>
    </row>
    <row r="13"/>
    <row r="14"/>
    <row r="15"/>
    <row r="16">
      <c r="K16" s="9">
        <f>HYPERLINK("#'Start here'!A1","← Back to Start here")</f>
        <v/>
      </c>
    </row>
    <row r="17">
      <c r="K17" s="9">
        <f>HYPERLINK("https://inchliit.github.io/excel-to-excel/","Open the webinar deck")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8"/>
  <sheetViews>
    <sheetView zoomScale="110" workbookViewId="0">
      <selection activeCell="A1" sqref="A1"/>
    </sheetView>
  </sheetViews>
  <sheetFormatPr baseColWidth="8" defaultRowHeight="15"/>
  <cols>
    <col width="11.1" customWidth="1" min="1" max="1"/>
    <col width="9" customWidth="1" min="2" max="2"/>
    <col width="18.3" customWidth="1" min="3" max="3"/>
    <col width="11.7" customWidth="1" min="4" max="4"/>
    <col hidden="1" outlineLevel="1" width="13" customWidth="1" min="14" max="20"/>
  </cols>
  <sheetData>
    <row r="1">
      <c r="A1" s="8" t="inlineStr">
        <is>
          <t>Date</t>
        </is>
      </c>
      <c r="B1" s="8" t="inlineStr">
        <is>
          <t>Line</t>
        </is>
      </c>
      <c r="C1" s="8" t="inlineStr">
        <is>
          <t>Cause</t>
        </is>
      </c>
      <c r="D1" s="8" t="inlineStr">
        <is>
          <t>Minutes</t>
        </is>
      </c>
      <c r="F1" s="11" t="inlineStr">
        <is>
          <t>14 · Pivot Table + Slicers</t>
        </is>
      </c>
      <c r="N1" s="12" t="inlineStr">
        <is>
          <t>ANSWER</t>
        </is>
      </c>
    </row>
    <row r="2">
      <c r="A2" s="4" t="inlineStr">
        <is>
          <t>5-Oct</t>
        </is>
      </c>
      <c r="B2" s="4" t="inlineStr">
        <is>
          <t>L1</t>
        </is>
      </c>
      <c r="C2" s="4" t="inlineStr">
        <is>
          <t>Changeover</t>
        </is>
      </c>
      <c r="D2" s="4" t="n">
        <v>45</v>
      </c>
      <c r="F2" s="10" t="inlineStr">
        <is>
          <t>Works in Excel 2013 and newer</t>
        </is>
      </c>
      <c r="N2" s="4" t="inlineStr">
        <is>
          <t>Sum of Minutes by Cause, largest first: Changeover 200, Breakdown 155, Material wait 90, Minor stops 56, Quality hold 45; Grand Total 546. Click L2 / L3 on the slicer to filter.</t>
        </is>
      </c>
    </row>
    <row r="3">
      <c r="A3" s="4" t="inlineStr">
        <is>
          <t>5-Oct</t>
        </is>
      </c>
      <c r="B3" s="4" t="inlineStr">
        <is>
          <t>L2</t>
        </is>
      </c>
      <c r="C3" s="4" t="inlineStr">
        <is>
          <t>Breakdown</t>
        </is>
      </c>
      <c r="D3" s="4" t="n">
        <v>70</v>
      </c>
      <c r="F3" s="5" t="inlineStr">
        <is>
          <t>Downtime by cause, one click per line</t>
        </is>
      </c>
    </row>
    <row r="4">
      <c r="A4" s="4" t="inlineStr">
        <is>
          <t>5-Oct</t>
        </is>
      </c>
      <c r="B4" s="4" t="inlineStr">
        <is>
          <t>L3</t>
        </is>
      </c>
      <c r="C4" s="4" t="inlineStr">
        <is>
          <t>Material wait</t>
        </is>
      </c>
      <c r="D4" s="4" t="n">
        <v>35</v>
      </c>
    </row>
    <row r="5">
      <c r="A5" s="4" t="inlineStr">
        <is>
          <t>6-Oct</t>
        </is>
      </c>
      <c r="B5" s="4" t="inlineStr">
        <is>
          <t>L1</t>
        </is>
      </c>
      <c r="C5" s="4" t="inlineStr">
        <is>
          <t>Minor stops</t>
        </is>
      </c>
      <c r="D5" s="4" t="n">
        <v>18</v>
      </c>
      <c r="F5" s="14" t="inlineStr">
        <is>
          <t>YOUR TURN  (yellow cells are yours)</t>
        </is>
      </c>
    </row>
    <row r="6">
      <c r="A6" s="4" t="inlineStr">
        <is>
          <t>6-Oct</t>
        </is>
      </c>
      <c r="B6" s="4" t="inlineStr">
        <is>
          <t>L2</t>
        </is>
      </c>
      <c r="C6" s="4" t="inlineStr">
        <is>
          <t>Changeover</t>
        </is>
      </c>
      <c r="D6" s="4" t="n">
        <v>40</v>
      </c>
      <c r="F6" s="4" t="inlineStr">
        <is>
          <t>1. Click any cell in A1:D17 › Insert › PivotTable › New Worksheet › OK.</t>
        </is>
      </c>
    </row>
    <row r="7">
      <c r="A7" s="4" t="inlineStr">
        <is>
          <t>6-Oct</t>
        </is>
      </c>
      <c r="B7" s="4" t="inlineStr">
        <is>
          <t>L3</t>
        </is>
      </c>
      <c r="C7" s="4" t="inlineStr">
        <is>
          <t>Quality hold</t>
        </is>
      </c>
      <c r="D7" s="4" t="n">
        <v>25</v>
      </c>
      <c r="F7" s="4" t="inlineStr">
        <is>
          <t>2. Drag Cause to Rows and Minutes to Values.</t>
        </is>
      </c>
    </row>
    <row r="8">
      <c r="A8" s="4" t="inlineStr">
        <is>
          <t>7-Oct</t>
        </is>
      </c>
      <c r="B8" s="4" t="inlineStr">
        <is>
          <t>L1</t>
        </is>
      </c>
      <c r="C8" s="4" t="inlineStr">
        <is>
          <t>Breakdown</t>
        </is>
      </c>
      <c r="D8" s="4" t="n">
        <v>30</v>
      </c>
      <c r="F8" s="4" t="inlineStr">
        <is>
          <t>3. Right-click a number › Sort › Largest to Smallest.</t>
        </is>
      </c>
    </row>
    <row r="9">
      <c r="A9" s="4" t="inlineStr">
        <is>
          <t>7-Oct</t>
        </is>
      </c>
      <c r="B9" s="4" t="inlineStr">
        <is>
          <t>L2</t>
        </is>
      </c>
      <c r="C9" s="4" t="inlineStr">
        <is>
          <t>Breakdown</t>
        </is>
      </c>
      <c r="D9" s="4" t="n">
        <v>55</v>
      </c>
      <c r="F9" s="4" t="inlineStr">
        <is>
          <t>4. PivotTable Analyze › Insert Slicer › tick Line › OK. Click L2, then L3.</t>
        </is>
      </c>
    </row>
    <row r="10">
      <c r="A10" s="4" t="inlineStr">
        <is>
          <t>7-Oct</t>
        </is>
      </c>
      <c r="B10" s="4" t="inlineStr">
        <is>
          <t>L3</t>
        </is>
      </c>
      <c r="C10" s="4" t="inlineStr">
        <is>
          <t>Material wait</t>
        </is>
      </c>
      <c r="D10" s="4" t="n">
        <v>40</v>
      </c>
      <c r="F10" s="4" t="inlineStr">
        <is>
          <t>5. New data later? Alt+F5 refreshes this pivot, Ctrl+Alt+F5 refreshes everything.</t>
        </is>
      </c>
    </row>
    <row r="11">
      <c r="A11" s="4" t="inlineStr">
        <is>
          <t>8-Oct</t>
        </is>
      </c>
      <c r="B11" s="4" t="inlineStr">
        <is>
          <t>L1</t>
        </is>
      </c>
      <c r="C11" s="4" t="inlineStr">
        <is>
          <t>Changeover</t>
        </is>
      </c>
      <c r="D11" s="4" t="n">
        <v>50</v>
      </c>
    </row>
    <row r="12">
      <c r="A12" s="4" t="inlineStr">
        <is>
          <t>8-Oct</t>
        </is>
      </c>
      <c r="B12" s="4" t="inlineStr">
        <is>
          <t>L2</t>
        </is>
      </c>
      <c r="C12" s="4" t="inlineStr">
        <is>
          <t>Minor stops</t>
        </is>
      </c>
      <c r="D12" s="4" t="n">
        <v>22</v>
      </c>
      <c r="F12" s="5" t="inlineStr">
        <is>
          <t>What you should see:</t>
        </is>
      </c>
    </row>
    <row r="13">
      <c r="A13" s="4" t="inlineStr">
        <is>
          <t>8-Oct</t>
        </is>
      </c>
      <c r="B13" s="4" t="inlineStr">
        <is>
          <t>L3</t>
        </is>
      </c>
      <c r="C13" s="4" t="inlineStr">
        <is>
          <t>Changeover</t>
        </is>
      </c>
      <c r="D13" s="4" t="n">
        <v>30</v>
      </c>
      <c r="F13" s="4" t="inlineStr">
        <is>
          <t>Sum of Minutes by Cause, largest first: Changeover 200, Breakdown 155, Material wait 90,</t>
        </is>
      </c>
    </row>
    <row r="14">
      <c r="A14" s="4" t="inlineStr">
        <is>
          <t>9-Oct</t>
        </is>
      </c>
      <c r="B14" s="4" t="inlineStr">
        <is>
          <t>L1</t>
        </is>
      </c>
      <c r="C14" s="4" t="inlineStr">
        <is>
          <t>Quality hold</t>
        </is>
      </c>
      <c r="D14" s="4" t="n">
        <v>20</v>
      </c>
      <c r="F14" s="4" t="inlineStr">
        <is>
          <t>Minor stops 56, Quality hold 45; Grand Total 546. Click L2 / L3 on the slicer to filter.</t>
        </is>
      </c>
    </row>
    <row r="15">
      <c r="A15" s="4" t="inlineStr">
        <is>
          <t>9-Oct</t>
        </is>
      </c>
      <c r="B15" s="4" t="inlineStr">
        <is>
          <t>L2</t>
        </is>
      </c>
      <c r="C15" s="4" t="inlineStr">
        <is>
          <t>Material wait</t>
        </is>
      </c>
      <c r="D15" s="4" t="n">
        <v>15</v>
      </c>
    </row>
    <row r="16">
      <c r="A16" s="4" t="inlineStr">
        <is>
          <t>9-Oct</t>
        </is>
      </c>
      <c r="B16" s="4" t="inlineStr">
        <is>
          <t>L3</t>
        </is>
      </c>
      <c r="C16" s="4" t="inlineStr">
        <is>
          <t>Minor stops</t>
        </is>
      </c>
      <c r="D16" s="4" t="n">
        <v>16</v>
      </c>
    </row>
    <row r="17">
      <c r="A17" s="4" t="inlineStr">
        <is>
          <t>9-Oct</t>
        </is>
      </c>
      <c r="B17" s="4" t="inlineStr">
        <is>
          <t>L1</t>
        </is>
      </c>
      <c r="C17" s="4" t="inlineStr">
        <is>
          <t>Changeover</t>
        </is>
      </c>
      <c r="D17" s="4" t="n">
        <v>35</v>
      </c>
      <c r="F17" s="9">
        <f>HYPERLINK("#'Start here'!A1","← Back to Start here")</f>
        <v/>
      </c>
    </row>
    <row r="18">
      <c r="F18" s="9">
        <f>HYPERLINK("https://inchliit.github.io/excel-to-excel/","Open the webinar deck")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zoomScale="110" workbookViewId="0">
      <selection activeCell="A1" sqref="A1"/>
    </sheetView>
  </sheetViews>
  <sheetFormatPr baseColWidth="8" defaultRowHeight="15"/>
  <cols>
    <col width="20" customWidth="1" min="1" max="1"/>
    <col width="11.4" customWidth="1" min="2" max="2"/>
    <col hidden="1" outlineLevel="1" width="13" customWidth="1" min="12" max="18"/>
  </cols>
  <sheetData>
    <row r="1">
      <c r="A1" s="8" t="inlineStr">
        <is>
          <t>Cause</t>
        </is>
      </c>
      <c r="B1" s="8" t="inlineStr">
        <is>
          <t>Count</t>
        </is>
      </c>
      <c r="D1" s="11" t="inlineStr">
        <is>
          <t>15 · Built-in Pareto chart</t>
        </is>
      </c>
      <c r="L1" s="12" t="inlineStr">
        <is>
          <t>ANSWER</t>
        </is>
      </c>
    </row>
    <row r="2">
      <c r="A2" s="4" t="inlineStr">
        <is>
          <t>Scratch</t>
        </is>
      </c>
      <c r="B2" s="4" t="n">
        <v>96</v>
      </c>
      <c r="D2" s="10" t="inlineStr">
        <is>
          <t>Works in Excel 2016, 2019, 2021 and Microsoft 365</t>
        </is>
      </c>
      <c r="L2" s="4" t="inlineStr">
        <is>
          <t>Bars sorted largest first with a cumulative % line. Running total of the top 3: Misalignment 41.2%, Scratch 69.0%, Burr 83.8% → 3 causes ≈ 84% of defects.</t>
        </is>
      </c>
    </row>
    <row r="3">
      <c r="A3" s="4" t="inlineStr">
        <is>
          <t>Dent</t>
        </is>
      </c>
      <c r="B3" s="4" t="n">
        <v>27</v>
      </c>
      <c r="D3" s="5" t="inlineStr">
        <is>
          <t>80/20 in two clicks</t>
        </is>
      </c>
    </row>
    <row r="4">
      <c r="A4" s="4" t="inlineStr">
        <is>
          <t>Misalignment</t>
        </is>
      </c>
      <c r="B4" s="4" t="n">
        <v>142</v>
      </c>
      <c r="D4" s="21" t="inlineStr">
        <is>
          <t>Older Excel: sort descending, add a cumulative % column, then a column + line combo chart</t>
        </is>
      </c>
    </row>
    <row r="5">
      <c r="A5" s="4" t="inlineStr">
        <is>
          <t>Burr</t>
        </is>
      </c>
      <c r="B5" s="4" t="n">
        <v>51</v>
      </c>
    </row>
    <row r="6">
      <c r="A6" s="4" t="inlineStr">
        <is>
          <t>Crack</t>
        </is>
      </c>
      <c r="B6" s="4" t="n">
        <v>14</v>
      </c>
      <c r="D6" s="14" t="inlineStr">
        <is>
          <t>YOUR TURN  (yellow cells are yours)</t>
        </is>
      </c>
    </row>
    <row r="7">
      <c r="A7" s="4" t="inlineStr">
        <is>
          <t>Porosity</t>
        </is>
      </c>
      <c r="B7" s="4" t="n">
        <v>9</v>
      </c>
      <c r="D7" s="4" t="inlineStr">
        <is>
          <t>1. Select A1:B8.</t>
        </is>
      </c>
    </row>
    <row r="8">
      <c r="A8" s="4" t="inlineStr">
        <is>
          <t>Other</t>
        </is>
      </c>
      <c r="B8" s="4" t="n">
        <v>6</v>
      </c>
      <c r="D8" s="4" t="inlineStr">
        <is>
          <t>2. Insert › Insert Statistic Chart › Pareto (under Histogram).</t>
        </is>
      </c>
    </row>
    <row r="9">
      <c r="D9" s="4" t="inlineStr">
        <is>
          <t>3. Excel sorts the causes and adds the cumulative % line for you.</t>
        </is>
      </c>
    </row>
    <row r="10"/>
    <row r="11">
      <c r="D11" s="5" t="inlineStr">
        <is>
          <t>What you should see:</t>
        </is>
      </c>
    </row>
    <row r="12">
      <c r="D12" s="4" t="inlineStr">
        <is>
          <t>Bars sorted largest first with a cumulative % line. Running total of the top 3: Misalignment</t>
        </is>
      </c>
    </row>
    <row r="13">
      <c r="D13" s="4" t="inlineStr">
        <is>
          <t>41.2%, Scratch 69.0%, Burr 83.8% → 3 causes ≈ 84% of defects.</t>
        </is>
      </c>
    </row>
    <row r="14"/>
    <row r="15"/>
    <row r="16">
      <c r="D16" s="9">
        <f>HYPERLINK("#'Start here'!A1","← Back to Start here")</f>
        <v/>
      </c>
    </row>
    <row r="17">
      <c r="D17" s="9">
        <f>HYPERLINK("https://inchliit.github.io/excel-to-excel/","Open the webinar deck")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="110" workbookViewId="0">
      <selection activeCell="A1" sqref="A1"/>
    </sheetView>
  </sheetViews>
  <sheetFormatPr baseColWidth="8" defaultRowHeight="15"/>
  <cols>
    <col width="32.9" customWidth="1" min="1" max="1"/>
    <col width="17.1" customWidth="1" min="2" max="2"/>
    <col hidden="1" outlineLevel="1" width="13" customWidth="1" min="12" max="18"/>
  </cols>
  <sheetData>
    <row r="1">
      <c r="A1" s="8" t="inlineStr">
        <is>
          <t>Available time (s)</t>
        </is>
      </c>
      <c r="B1" s="27" t="n">
        <v>27000</v>
      </c>
      <c r="D1" s="11" t="inlineStr">
        <is>
          <t>16 · Goal Seek</t>
        </is>
      </c>
      <c r="L1" s="12" t="inlineStr">
        <is>
          <t>ANSWER</t>
        </is>
      </c>
    </row>
    <row r="2">
      <c r="A2" s="4" t="inlineStr">
        <is>
          <t>Cycle time (s)</t>
        </is>
      </c>
      <c r="B2" s="6" t="n">
        <v>62</v>
      </c>
      <c r="D2" s="10" t="inlineStr">
        <is>
          <t>Works in Excel 2013 and newer</t>
        </is>
      </c>
      <c r="L2" s="4" t="inlineStr">
        <is>
          <t>B2 becomes 56.25 s (27,000 s ÷ 480 units).</t>
        </is>
      </c>
    </row>
    <row r="3">
      <c r="A3" s="4" t="inlineStr">
        <is>
          <t>Units/day</t>
        </is>
      </c>
      <c r="B3" s="20">
        <f>B1/B2</f>
        <v/>
      </c>
      <c r="D3" s="5" t="inlineStr">
        <is>
          <t>Work backwards to your takt time</t>
        </is>
      </c>
    </row>
    <row r="4"/>
    <row r="5">
      <c r="D5" s="14" t="inlineStr">
        <is>
          <t>YOUR TURN  (yellow cells are yours)</t>
        </is>
      </c>
    </row>
    <row r="6">
      <c r="D6" s="4" t="inlineStr">
        <is>
          <t>1. Data › What-If Analysis › Goal Seek.</t>
        </is>
      </c>
    </row>
    <row r="7">
      <c r="D7" s="4" t="inlineStr">
        <is>
          <t>2. Set cell: B3 · To value: 480 · By changing cell: B2 › OK.</t>
        </is>
      </c>
    </row>
    <row r="8"/>
    <row r="9">
      <c r="D9" s="5" t="inlineStr">
        <is>
          <t>Check:</t>
        </is>
      </c>
      <c r="E9" s="15">
        <f>IF(ABS(B3-480)&lt;0.01,"✓ Goal Seek done: cycle time "&amp;TEXT(B2,"0.00")&amp;" s = takt time","Run Goal Seek: Set cell B3, To value 480, By changing cell B2")</f>
        <v/>
      </c>
    </row>
    <row r="10">
      <c r="D10" s="10" t="inlineStr">
        <is>
          <t>Stuck? The answer is in hidden columns L–R: click the [+] in the bar above the column letters.</t>
        </is>
      </c>
    </row>
    <row r="11"/>
    <row r="12">
      <c r="D12" s="9">
        <f>HYPERLINK("#'Start here'!A1","← Back to Start here")</f>
        <v/>
      </c>
    </row>
    <row r="13">
      <c r="D13" s="9">
        <f>HYPERLINK("https://inchliit.github.io/excel-to-excel/","Open the webinar deck")</f>
        <v/>
      </c>
    </row>
  </sheetData>
  <conditionalFormatting sqref="E9">
    <cfRule type="expression" priority="1" dxfId="0">
      <formula>LEFT(E9,1)="✓"</formula>
    </cfRule>
    <cfRule type="expression" priority="2" dxfId="1">
      <formula>LEFT(E9,1)="✗"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110" workbookViewId="0">
      <selection activeCell="A1" sqref="A1"/>
    </sheetView>
  </sheetViews>
  <sheetFormatPr baseColWidth="8" defaultRowHeight="15"/>
  <cols>
    <col width="24.3" customWidth="1" min="1" max="1"/>
    <col width="11.1" customWidth="1" min="2" max="2"/>
    <col width="9" customWidth="1" min="3" max="3"/>
    <col width="10" customWidth="1" min="4" max="4"/>
    <col width="12" customWidth="1" min="5" max="5"/>
    <col hidden="1" outlineLevel="1" width="13" customWidth="1" min="15" max="21"/>
  </cols>
  <sheetData>
    <row r="1">
      <c r="A1" s="8" t="inlineStr">
        <is>
          <t>Demand D (/yr)</t>
        </is>
      </c>
      <c r="B1" s="27" t="n">
        <v>12000</v>
      </c>
      <c r="G1" s="11" t="inlineStr">
        <is>
          <t>17 · What-If Data Table</t>
        </is>
      </c>
      <c r="O1" s="12" t="inlineStr">
        <is>
          <t>ANSWER</t>
        </is>
      </c>
    </row>
    <row r="2">
      <c r="A2" s="4" t="inlineStr">
        <is>
          <t>Order cost S</t>
        </is>
      </c>
      <c r="B2" s="22" t="n">
        <v>1500</v>
      </c>
      <c r="G2" s="10" t="inlineStr">
        <is>
          <t>Works in Excel 2013 and newer</t>
        </is>
      </c>
      <c r="O2" s="5" t="inlineStr">
        <is>
          <t>Select D7:E15 (Q values in D, the TC link =B5 in E7). Data › What-If Analysis › Data Table. Row input cell: leave blank · Column input cell: B4 › OK.</t>
        </is>
      </c>
    </row>
    <row r="3">
      <c r="A3" s="4" t="inlineStr">
        <is>
          <t>Holding H (/unit-yr)</t>
        </is>
      </c>
      <c r="B3" s="22" t="n">
        <v>30</v>
      </c>
      <c r="G3" s="5" t="inlineStr">
        <is>
          <t>Every order quantity at once</t>
        </is>
      </c>
      <c r="O3" s="4" t="inlineStr">
        <is>
          <t>Expected (after the trick)</t>
        </is>
      </c>
    </row>
    <row r="4">
      <c r="A4" s="4" t="inlineStr">
        <is>
          <t>Order qty Q</t>
        </is>
      </c>
      <c r="B4" s="22" t="n">
        <v>800</v>
      </c>
      <c r="P4" s="4" t="n">
        <v>51000</v>
      </c>
    </row>
    <row r="5">
      <c r="A5" s="4" t="inlineStr">
        <is>
          <t>Total cost TC</t>
        </is>
      </c>
      <c r="B5" s="22">
        <f>B1/B4*B2+B4/2*B3</f>
        <v/>
      </c>
      <c r="G5" s="14" t="inlineStr">
        <is>
          <t>YOUR TURN  (yellow cells are yours)</t>
        </is>
      </c>
      <c r="P5" s="4" t="n">
        <v>39000</v>
      </c>
    </row>
    <row r="6">
      <c r="D6" s="8" t="inlineStr">
        <is>
          <t>Q</t>
        </is>
      </c>
      <c r="E6" s="8" t="inlineStr">
        <is>
          <t>TC</t>
        </is>
      </c>
      <c r="G6" s="4" t="inlineStr">
        <is>
          <t>1. Select D7:E15 (Q values in D, the TC link =B5 in E7).</t>
        </is>
      </c>
      <c r="P6" s="4" t="n">
        <v>34500</v>
      </c>
    </row>
    <row r="7">
      <c r="E7" s="22">
        <f>B5</f>
        <v/>
      </c>
      <c r="G7" s="4" t="inlineStr">
        <is>
          <t>2. Data › What-If Analysis › Data Table.</t>
        </is>
      </c>
      <c r="P7" s="4" t="n">
        <v>33000</v>
      </c>
    </row>
    <row r="8">
      <c r="D8" s="22" t="n">
        <v>400</v>
      </c>
      <c r="E8" s="13" t="n"/>
      <c r="G8" s="4" t="inlineStr">
        <is>
          <t>3. Row input cell: leave blank · Column input cell: B4 › OK.</t>
        </is>
      </c>
      <c r="P8" s="4" t="n">
        <v>33000</v>
      </c>
    </row>
    <row r="9">
      <c r="D9" s="22" t="n">
        <v>600</v>
      </c>
      <c r="E9" s="13" t="n"/>
      <c r="G9" s="4" t="inlineStr">
        <is>
          <t>4. Excel fills E8:E15 with {=TABLE(,B4)}. The cheapest Q sits between 1,000 and 1,200 (EOQ ≈</t>
        </is>
      </c>
      <c r="P9" s="4" t="n">
        <v>33857.14285714286</v>
      </c>
    </row>
    <row r="10">
      <c r="D10" s="22" t="n">
        <v>800</v>
      </c>
      <c r="E10" s="13" t="n"/>
      <c r="G10" s="4" t="inlineStr">
        <is>
          <t xml:space="preserve">    1,095).</t>
        </is>
      </c>
      <c r="P10" s="4" t="n">
        <v>35250</v>
      </c>
    </row>
    <row r="11">
      <c r="D11" s="22" t="n">
        <v>1000</v>
      </c>
      <c r="E11" s="13" t="n"/>
      <c r="P11" s="4" t="n">
        <v>37000</v>
      </c>
    </row>
    <row r="12">
      <c r="D12" s="22" t="n">
        <v>1200</v>
      </c>
      <c r="E12" s="13" t="n"/>
      <c r="G12" s="5" t="inlineStr">
        <is>
          <t>Check:</t>
        </is>
      </c>
      <c r="H12" s="15">
        <f>IF(COUNTBLANK(E8:E15)=8,"",IF(SUMPRODUCT(--ISERROR(E8:E15))&gt;0,"✗ Some cells show an error",IF(SUMPRODUCT(--(ROUND(E8:E15,0)=ROUND($P$4:$P$11,0)))=8,"✓ Done right!","✗ Not yet: follow the steps")))</f>
        <v/>
      </c>
    </row>
    <row r="13">
      <c r="D13" s="22" t="n">
        <v>1400</v>
      </c>
      <c r="E13" s="13" t="n"/>
      <c r="G13" s="10" t="inlineStr">
        <is>
          <t>Stuck? The answer is in hidden columns O–U: click the [+] in the bar above the column letters.</t>
        </is>
      </c>
    </row>
    <row r="14">
      <c r="D14" s="22" t="n">
        <v>1600</v>
      </c>
      <c r="E14" s="13" t="n"/>
    </row>
    <row r="15">
      <c r="D15" s="22" t="n">
        <v>1800</v>
      </c>
      <c r="E15" s="13" t="n"/>
      <c r="G15" s="9">
        <f>HYPERLINK("#'Start here'!A1","← Back to Start here")</f>
        <v/>
      </c>
    </row>
    <row r="16">
      <c r="G16" s="9">
        <f>HYPERLINK("https://inchliit.github.io/excel-to-excel/","Open the webinar deck")</f>
        <v/>
      </c>
    </row>
  </sheetData>
  <conditionalFormatting sqref="H12">
    <cfRule type="expression" priority="1" dxfId="0">
      <formula>LEFT(H12,1)="✓"</formula>
    </cfRule>
    <cfRule type="expression" priority="2" dxfId="1">
      <formula>LEFT(H12,1)="✗"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8"/>
  <sheetViews>
    <sheetView zoomScale="110" workbookViewId="0">
      <selection activeCell="A1" sqref="A1"/>
    </sheetView>
  </sheetViews>
  <sheetFormatPr baseColWidth="8" defaultRowHeight="15"/>
  <cols>
    <col width="13.7" customWidth="1" min="1" max="1"/>
    <col width="11.4" customWidth="1" min="2" max="2"/>
    <col width="11.7" customWidth="1" min="3" max="3"/>
    <col width="9" customWidth="1" min="4" max="4"/>
    <col width="9" customWidth="1" min="5" max="5"/>
    <col width="9" customWidth="1" min="6" max="6"/>
    <col width="9.4" customWidth="1" min="7" max="7"/>
    <col hidden="1" outlineLevel="1" width="13" customWidth="1" min="17" max="23"/>
  </cols>
  <sheetData>
    <row r="1">
      <c r="B1" s="8" t="inlineStr">
        <is>
          <t>Brackets</t>
        </is>
      </c>
      <c r="C1" s="8" t="inlineStr">
        <is>
          <t>Housings</t>
        </is>
      </c>
      <c r="D1" s="8" t="inlineStr">
        <is>
          <t>Total</t>
        </is>
      </c>
      <c r="I1" s="11" t="inlineStr">
        <is>
          <t>18 · Solver product mix</t>
        </is>
      </c>
      <c r="Q1" s="12" t="inlineStr">
        <is>
          <t>ANSWER</t>
        </is>
      </c>
    </row>
    <row r="2">
      <c r="A2" s="4" t="inlineStr">
        <is>
          <t>Quantity</t>
        </is>
      </c>
      <c r="B2" s="6" t="n">
        <v>0</v>
      </c>
      <c r="C2" s="6" t="n">
        <v>0</v>
      </c>
      <c r="I2" s="10" t="inlineStr">
        <is>
          <t>Works in Excel 2013 and newer</t>
        </is>
      </c>
      <c r="Q2" s="4" t="inlineStr">
        <is>
          <t>Optimum: B2 = 20 brackets, C2 = 60 housings, profit D3 = 2,600; both constraints 100% used.</t>
        </is>
      </c>
    </row>
    <row r="3">
      <c r="A3" s="4" t="inlineStr">
        <is>
          <t>Profit/unit</t>
        </is>
      </c>
      <c r="B3" s="4" t="n">
        <v>40</v>
      </c>
      <c r="C3" s="4" t="n">
        <v>30</v>
      </c>
      <c r="D3" s="22">
        <f>SUMPRODUCT(B2:C2,B3:C3)</f>
        <v/>
      </c>
      <c r="I3" s="5" t="inlineStr">
        <is>
          <t>Let Excel do the LP</t>
        </is>
      </c>
    </row>
    <row r="4">
      <c r="A4" s="4" t="inlineStr">
        <is>
          <t>Hours/unit</t>
        </is>
      </c>
      <c r="D4" s="4" t="inlineStr">
        <is>
          <t>Used</t>
        </is>
      </c>
      <c r="F4" s="4" t="inlineStr">
        <is>
          <t>Limit</t>
        </is>
      </c>
      <c r="G4" s="4" t="inlineStr">
        <is>
          <t>% used</t>
        </is>
      </c>
    </row>
    <row r="5">
      <c r="A5" s="4" t="inlineStr">
        <is>
          <t>Machining</t>
        </is>
      </c>
      <c r="B5" s="4" t="n">
        <v>2</v>
      </c>
      <c r="C5" s="4" t="n">
        <v>1</v>
      </c>
      <c r="D5" s="4">
        <f>SUMPRODUCT($B$2:$C$2,B5:C5)</f>
        <v/>
      </c>
      <c r="E5" s="4" t="inlineStr">
        <is>
          <t>&lt;=</t>
        </is>
      </c>
      <c r="F5" s="4" t="n">
        <v>100</v>
      </c>
      <c r="G5" s="23">
        <f>D5/F5</f>
        <v/>
      </c>
      <c r="I5" s="14" t="inlineStr">
        <is>
          <t>YOUR TURN  (yellow cells are yours)</t>
        </is>
      </c>
    </row>
    <row r="6">
      <c r="A6" s="4" t="inlineStr">
        <is>
          <t>Assembly</t>
        </is>
      </c>
      <c r="B6" s="4" t="n">
        <v>1</v>
      </c>
      <c r="C6" s="4" t="n">
        <v>1</v>
      </c>
      <c r="D6" s="4">
        <f>SUMPRODUCT($B$2:$C$2,B6:C6)</f>
        <v/>
      </c>
      <c r="E6" s="4" t="inlineStr">
        <is>
          <t>&lt;=</t>
        </is>
      </c>
      <c r="F6" s="4" t="n">
        <v>80</v>
      </c>
      <c r="G6" s="23">
        <f>D6/F6</f>
        <v/>
      </c>
      <c r="I6" s="4" t="inlineStr">
        <is>
          <t>1. First time only: File › Options › Add-ins › Manage: Excel Add-ins › Go › tick Solver Add-</t>
        </is>
      </c>
    </row>
    <row r="7">
      <c r="I7" s="4" t="inlineStr">
        <is>
          <t xml:space="preserve">    in › OK.</t>
        </is>
      </c>
    </row>
    <row r="8">
      <c r="I8" s="4" t="inlineStr">
        <is>
          <t>2. (Mac: Tools › Excel Add-ins › Solver Add-In.)</t>
        </is>
      </c>
    </row>
    <row r="9">
      <c r="I9" s="4" t="inlineStr">
        <is>
          <t>3. Data › Solver. Set Objective: $D$3 · To: Max · By Changing Variable Cells: $B$2:$C$2.</t>
        </is>
      </c>
    </row>
    <row r="10">
      <c r="I10" s="4" t="inlineStr">
        <is>
          <t>4. Add the constraint $D$5:$D$6 &lt;= $F$5:$F$6 · tick Make Unconstrained Variables Non-</t>
        </is>
      </c>
    </row>
    <row r="11">
      <c r="I11" s="4" t="inlineStr">
        <is>
          <t xml:space="preserve">    Negative.</t>
        </is>
      </c>
    </row>
    <row r="12">
      <c r="I12" s="4" t="inlineStr">
        <is>
          <t>5. Solving Method: Simplex LP › Solve › Keep Solver Solution › OK.</t>
        </is>
      </c>
    </row>
    <row r="13"/>
    <row r="14">
      <c r="I14" s="5" t="inlineStr">
        <is>
          <t>Check:</t>
        </is>
      </c>
      <c r="J14" s="15">
        <f>IF(AND(ROUND(B2,4)=20,ROUND(C2,4)=60),"✓ Optimal: 20 brackets + 60 housings = 2,600 profit","Run Solver: maximize D3 by changing B2:C2 (steps on the left)")</f>
        <v/>
      </c>
    </row>
    <row r="15">
      <c r="I15" s="10" t="inlineStr">
        <is>
          <t>Stuck? The answer is in hidden columns Q–W: click the [+] in the bar above the column letters.</t>
        </is>
      </c>
    </row>
    <row r="16"/>
    <row r="17">
      <c r="I17" s="9">
        <f>HYPERLINK("#'Start here'!A1","← Back to Start here")</f>
        <v/>
      </c>
    </row>
    <row r="18">
      <c r="I18" s="9">
        <f>HYPERLINK("https://inchliit.github.io/excel-to-excel/","Open the webinar deck")</f>
        <v/>
      </c>
    </row>
  </sheetData>
  <conditionalFormatting sqref="J14">
    <cfRule type="expression" priority="1" dxfId="0">
      <formula>LEFT(J14,1)="✓"</formula>
    </cfRule>
    <cfRule type="expression" priority="2" dxfId="1">
      <formula>LEFT(J14,1)="✗"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5"/>
  <sheetViews>
    <sheetView zoomScale="11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hidden="1" outlineLevel="1" width="13" customWidth="1" min="12" max="18"/>
  </cols>
  <sheetData>
    <row r="1">
      <c r="A1" s="8" t="inlineStr">
        <is>
          <t>Month</t>
        </is>
      </c>
      <c r="B1" s="8" t="inlineStr">
        <is>
          <t>Demand</t>
        </is>
      </c>
      <c r="D1" s="11" t="inlineStr">
        <is>
          <t>19 · Forecast Sheet</t>
        </is>
      </c>
      <c r="L1" s="12" t="inlineStr">
        <is>
          <t>ANSWER</t>
        </is>
      </c>
    </row>
    <row r="2">
      <c r="A2" s="28" t="n">
        <v>45566</v>
      </c>
      <c r="B2" s="22" t="n">
        <v>1116</v>
      </c>
      <c r="D2" s="10" t="inlineStr">
        <is>
          <t>Works in Excel 2016, 2019, 2021 and Microsoft 365</t>
        </is>
      </c>
      <c r="L2" s="4" t="inlineStr">
        <is>
          <t>A new sheet with a forecast line and a 95% confidence band for the next months.</t>
        </is>
      </c>
    </row>
    <row r="3">
      <c r="A3" s="28" t="n">
        <v>45597</v>
      </c>
      <c r="B3" s="22" t="n">
        <v>1160</v>
      </c>
      <c r="D3" s="5" t="inlineStr">
        <is>
          <t>Seasonal demand forecast in one click</t>
        </is>
      </c>
    </row>
    <row r="4">
      <c r="A4" s="28" t="n">
        <v>45627</v>
      </c>
      <c r="B4" s="22" t="n">
        <v>1232</v>
      </c>
      <c r="D4" s="21" t="inlineStr">
        <is>
          <t>Older Excel: no Forecast Sheet button; type the FORECAST.ETS function yourself</t>
        </is>
      </c>
    </row>
    <row r="5">
      <c r="A5" s="28" t="n">
        <v>45658</v>
      </c>
      <c r="B5" s="22" t="n">
        <v>1200</v>
      </c>
    </row>
    <row r="6">
      <c r="A6" s="28" t="n">
        <v>45689</v>
      </c>
      <c r="B6" s="22" t="n">
        <v>1139</v>
      </c>
      <c r="D6" s="14" t="inlineStr">
        <is>
          <t>YOUR TURN  (yellow cells are yours)</t>
        </is>
      </c>
    </row>
    <row r="7">
      <c r="A7" s="28" t="n">
        <v>45717</v>
      </c>
      <c r="B7" s="22" t="n">
        <v>1091</v>
      </c>
      <c r="D7" s="4" t="inlineStr">
        <is>
          <t>1. Click any cell in A1:B25 (one cell inside the data is enough).</t>
        </is>
      </c>
    </row>
    <row r="8">
      <c r="A8" s="28" t="n">
        <v>45748</v>
      </c>
      <c r="B8" s="22" t="n">
        <v>976</v>
      </c>
      <c r="D8" s="4" t="inlineStr">
        <is>
          <t>2. Data › Forecast › Forecast Sheet (Windows Excel 2016+).</t>
        </is>
      </c>
    </row>
    <row r="9">
      <c r="A9" s="28" t="n">
        <v>45778</v>
      </c>
      <c r="B9" s="22" t="n">
        <v>947</v>
      </c>
      <c r="D9" s="4" t="inlineStr">
        <is>
          <t>3. Check Options: Confidence Interval 95%, Seasonality: Detect Automatically › Create.</t>
        </is>
      </c>
    </row>
    <row r="10">
      <c r="A10" s="28" t="n">
        <v>45809</v>
      </c>
      <c r="B10" s="22" t="n">
        <v>936</v>
      </c>
      <c r="D10" s="4" t="inlineStr">
        <is>
          <t>4. Mac / web: no Forecast Sheet button. Type =FORECAST.ETS(…) yourself.</t>
        </is>
      </c>
    </row>
    <row r="11">
      <c r="A11" s="28" t="n">
        <v>45839</v>
      </c>
      <c r="B11" s="22" t="n">
        <v>946</v>
      </c>
    </row>
    <row r="12">
      <c r="A12" s="28" t="n">
        <v>45870</v>
      </c>
      <c r="B12" s="22" t="n">
        <v>1061</v>
      </c>
      <c r="D12" s="5" t="inlineStr">
        <is>
          <t>What you should see:</t>
        </is>
      </c>
    </row>
    <row r="13">
      <c r="A13" s="28" t="n">
        <v>45901</v>
      </c>
      <c r="B13" s="22" t="n">
        <v>1134</v>
      </c>
      <c r="D13" s="4" t="inlineStr">
        <is>
          <t>A new sheet with a forecast line and a 95% confidence band for the next months.</t>
        </is>
      </c>
    </row>
    <row r="14">
      <c r="A14" s="28" t="n">
        <v>45931</v>
      </c>
      <c r="B14" s="22" t="n">
        <v>1242</v>
      </c>
    </row>
    <row r="15">
      <c r="A15" s="28" t="n">
        <v>45962</v>
      </c>
      <c r="B15" s="22" t="n">
        <v>1340</v>
      </c>
    </row>
    <row r="16">
      <c r="A16" s="28" t="n">
        <v>45992</v>
      </c>
      <c r="B16" s="22" t="n">
        <v>1340</v>
      </c>
    </row>
    <row r="17">
      <c r="A17" s="28" t="n">
        <v>46023</v>
      </c>
      <c r="B17" s="22" t="n">
        <v>1361</v>
      </c>
      <c r="D17" s="9">
        <f>HYPERLINK("#'Start here'!A1","← Back to Start here")</f>
        <v/>
      </c>
    </row>
    <row r="18">
      <c r="A18" s="28" t="n">
        <v>46054</v>
      </c>
      <c r="B18" s="22" t="n">
        <v>1295</v>
      </c>
      <c r="D18" s="9">
        <f>HYPERLINK("https://inchliit.github.io/excel-to-excel/","Open the webinar deck")</f>
        <v/>
      </c>
    </row>
    <row r="19">
      <c r="A19" s="28" t="n">
        <v>46082</v>
      </c>
      <c r="B19" s="22" t="n">
        <v>1202</v>
      </c>
    </row>
    <row r="20">
      <c r="A20" s="28" t="n">
        <v>46113</v>
      </c>
      <c r="B20" s="22" t="n">
        <v>1158</v>
      </c>
    </row>
    <row r="21">
      <c r="A21" s="28" t="n">
        <v>46143</v>
      </c>
      <c r="B21" s="22" t="n">
        <v>1069</v>
      </c>
    </row>
    <row r="22">
      <c r="A22" s="28" t="n">
        <v>46174</v>
      </c>
      <c r="B22" s="22" t="n">
        <v>1075</v>
      </c>
    </row>
    <row r="23">
      <c r="A23" s="28" t="n">
        <v>46204</v>
      </c>
      <c r="B23" s="22" t="n">
        <v>1120</v>
      </c>
    </row>
    <row r="24">
      <c r="A24" s="28" t="n">
        <v>46235</v>
      </c>
      <c r="B24" s="22" t="n">
        <v>1166</v>
      </c>
    </row>
    <row r="25">
      <c r="A25" s="28" t="n">
        <v>46266</v>
      </c>
      <c r="B25" s="22" t="n">
        <v>1305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4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8" customWidth="1" min="4" max="4"/>
    <col hidden="1" outlineLevel="1" width="13" customWidth="1" min="14" max="20"/>
  </cols>
  <sheetData>
    <row r="1">
      <c r="A1" s="8" t="inlineStr">
        <is>
          <t>Station</t>
        </is>
      </c>
      <c r="B1" s="8" t="inlineStr">
        <is>
          <t>Mean (min)</t>
        </is>
      </c>
      <c r="C1" s="8" t="inlineStr">
        <is>
          <t>SD (min)</t>
        </is>
      </c>
      <c r="D1" s="8" t="inlineStr">
        <is>
          <t>Simulated (min)</t>
        </is>
      </c>
      <c r="F1" s="11" t="inlineStr">
        <is>
          <t>20 · Monte Carlo</t>
        </is>
      </c>
      <c r="N1" s="12" t="inlineStr">
        <is>
          <t>ANSWER</t>
        </is>
      </c>
    </row>
    <row r="2">
      <c r="A2" s="4" t="inlineStr">
        <is>
          <t>Station 1</t>
        </is>
      </c>
      <c r="B2" s="29" t="n">
        <v>12</v>
      </c>
      <c r="C2" s="20" t="n">
        <v>1.5</v>
      </c>
      <c r="F2" s="10" t="inlineStr">
        <is>
          <t>Works in Excel 2013 and newer</t>
        </is>
      </c>
      <c r="N2" s="5" t="inlineStr">
        <is>
          <t>=NORM.INV(RAND(),18,2.5)</t>
        </is>
      </c>
    </row>
    <row r="3">
      <c r="A3" s="4" t="inlineStr">
        <is>
          <t>Station 2</t>
        </is>
      </c>
      <c r="B3" s="29" t="n">
        <v>18</v>
      </c>
      <c r="C3" s="20" t="n">
        <v>2.5</v>
      </c>
      <c r="D3" s="13" t="n"/>
      <c r="F3" s="5" t="inlineStr">
        <is>
          <t>Simulate variability, not averages</t>
        </is>
      </c>
    </row>
    <row r="4">
      <c r="A4" s="4" t="inlineStr">
        <is>
          <t>Station 3</t>
        </is>
      </c>
      <c r="B4" s="29" t="n">
        <v>9</v>
      </c>
      <c r="C4" s="20" t="n">
        <v>1</v>
      </c>
    </row>
    <row r="5">
      <c r="F5" s="14" t="inlineStr">
        <is>
          <t>YOUR TURN  (yellow cells are yours)</t>
        </is>
      </c>
    </row>
    <row r="6">
      <c r="F6" s="4" t="inlineStr">
        <is>
          <t>Simulate one Station-2 time (mean 18, SD 2.5 min) → D3</t>
        </is>
      </c>
      <c r="N6" s="19" t="inlineStr">
        <is>
          <t>Hint: NORM.INV(probability, mean, SD): use RAND() as the probability.</t>
        </is>
      </c>
    </row>
    <row r="7">
      <c r="F7" s="4" t="inlineStr">
        <is>
          <t>Then fill D2 and D4 with their own means and SDs, and add =SUM(D2:D4) for the total.</t>
        </is>
      </c>
    </row>
    <row r="8">
      <c r="F8" s="4" t="inlineStr">
        <is>
          <t>Press F9 to re-roll. Fill 1,000 rows and COUNTIF the totals ≤ 42 to estimate on-time %.</t>
        </is>
      </c>
    </row>
    <row r="9"/>
    <row r="10">
      <c r="F10" s="5" t="inlineStr">
        <is>
          <t>Check:</t>
        </is>
      </c>
      <c r="G10" s="15">
        <f>IF(ISBLANK(D3),"",IF(ISERROR(D3),"✗ Your formula returns an error",IF(AND(ISNUMBER(D3),D3&gt;8,D3&lt;28),"✓ Looks right! Press F9 to draw a new time","✗ Expect a time near 18 min")))</f>
        <v/>
      </c>
    </row>
    <row r="11">
      <c r="F11" s="10" t="inlineStr">
        <is>
          <t>Stuck? The answer is in hidden columns N–T: click the [+] in the bar above the column letters.</t>
        </is>
      </c>
    </row>
    <row r="12"/>
    <row r="13">
      <c r="F13" s="9">
        <f>HYPERLINK("#'Start here'!A1","← Back to Start here")</f>
        <v/>
      </c>
    </row>
    <row r="14">
      <c r="F14" s="9">
        <f>HYPERLINK("https://inchliit.github.io/excel-to-excel/","Open the webinar deck")</f>
        <v/>
      </c>
    </row>
  </sheetData>
  <conditionalFormatting sqref="G10">
    <cfRule type="expression" priority="1" dxfId="0">
      <formula>LEFT(G10,1)="✓"</formula>
    </cfRule>
    <cfRule type="expression" priority="2" dxfId="1">
      <formula>LEFT(G10,1)="✗"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2026-10-10T02:16:58Z</dcterms:created>
  <dcterms:modified xmlns:dcterms="http://purl.org/dc/terms/" xmlns:xsi="http://www.w3.org/2001/XMLSchema-instance" xsi:type="dcterms:W3CDTF">2026-10-10T02:16:58Z</dcterms:modified>
</cp:coreProperties>
</file>